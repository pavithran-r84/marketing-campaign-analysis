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pavi_work\"/>
    </mc:Choice>
  </mc:AlternateContent>
  <xr:revisionPtr revIDLastSave="0" documentId="13_ncr:1_{93979BE3-D0C2-4F10-A853-815CE0694E2D}" xr6:coauthVersionLast="47" xr6:coauthVersionMax="47" xr10:uidLastSave="{00000000-0000-0000-0000-000000000000}"/>
  <bookViews>
    <workbookView xWindow="-110" yWindow="-110" windowWidth="19420" windowHeight="10300" xr2:uid="{F26B8593-6F23-4D12-B1C8-232E1AC678C5}"/>
  </bookViews>
  <sheets>
    <sheet name="Advertising_Data(raw)" sheetId="1" r:id="rId1"/>
    <sheet name="EDA_1" sheetId="13" r:id="rId2"/>
    <sheet name="EDA_2" sheetId="14" r:id="rId3"/>
    <sheet name="EDA_3" sheetId="15" r:id="rId4"/>
    <sheet name="EDA_4" sheetId="16" r:id="rId5"/>
    <sheet name="EDA_5" sheetId="17" r:id="rId6"/>
    <sheet name="traditional_dril" sheetId="19" r:id="rId7"/>
    <sheet name="EDA_6" sheetId="20" r:id="rId8"/>
    <sheet name="cleaned_data" sheetId="3" r:id="rId9"/>
    <sheet name="category_pefromance" sheetId="18" r:id="rId10"/>
  </sheets>
  <definedNames>
    <definedName name="_xlnm._FilterDatabase" localSheetId="0" hidden="1">'Advertising_Data(raw)'!$A$1:$H$1</definedName>
  </definedNames>
  <calcPr calcId="191029"/>
  <pivotCaches>
    <pivotCache cacheId="0" r:id="rId11"/>
    <pivotCache cacheId="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2" i="3"/>
  <c r="C5" i="18"/>
  <c r="C4" i="18"/>
  <c r="C3" i="18"/>
  <c r="C2" i="18"/>
  <c r="B2" i="18"/>
  <c r="B5" i="18"/>
  <c r="B4" i="18"/>
  <c r="B3" i="18"/>
  <c r="U8" i="3"/>
  <c r="U7" i="3"/>
  <c r="U6" i="3"/>
  <c r="U5" i="3"/>
  <c r="T8" i="3"/>
  <c r="T7" i="3"/>
  <c r="T6" i="3"/>
  <c r="T5" i="3"/>
  <c r="J4" i="3"/>
  <c r="J2" i="3"/>
  <c r="J3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2" i="3"/>
  <c r="K4" i="3"/>
  <c r="K3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2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2" i="3"/>
</calcChain>
</file>

<file path=xl/sharedStrings.xml><?xml version="1.0" encoding="utf-8"?>
<sst xmlns="http://schemas.openxmlformats.org/spreadsheetml/2006/main" count="129" uniqueCount="54">
  <si>
    <t>TV</t>
  </si>
  <si>
    <t>Billboards</t>
  </si>
  <si>
    <t>Google_Ads</t>
  </si>
  <si>
    <t>Social_Media</t>
  </si>
  <si>
    <t>Influencer_Marketing</t>
  </si>
  <si>
    <t>Affiliate_Marketing</t>
  </si>
  <si>
    <t>Product_Sold</t>
  </si>
  <si>
    <t>Row Labels</t>
  </si>
  <si>
    <t>Grand Total</t>
  </si>
  <si>
    <t>total_spend</t>
  </si>
  <si>
    <t>traditional_spend</t>
  </si>
  <si>
    <t>digital_spend</t>
  </si>
  <si>
    <t>partnership_spend</t>
  </si>
  <si>
    <t>trust_spend</t>
  </si>
  <si>
    <t xml:space="preserve">product_sold_range </t>
  </si>
  <si>
    <t>0-5000</t>
  </si>
  <si>
    <t>5000-6999</t>
  </si>
  <si>
    <t>7000-8999</t>
  </si>
  <si>
    <t>9000+</t>
  </si>
  <si>
    <t xml:space="preserve">Count of product_sold_range </t>
  </si>
  <si>
    <t>Sum of traditional_spend</t>
  </si>
  <si>
    <t>Sum of digital_spend</t>
  </si>
  <si>
    <t>Sum of total_spend</t>
  </si>
  <si>
    <t>Average of traditional_spend2</t>
  </si>
  <si>
    <t>Average of digital_spend2</t>
  </si>
  <si>
    <t>Average of total_spend2</t>
  </si>
  <si>
    <t>Cost_per_sale</t>
  </si>
  <si>
    <t>Sum of Cost_per_sale</t>
  </si>
  <si>
    <t>Average of Cost_per_sale</t>
  </si>
  <si>
    <t>Sum of trust_spend</t>
  </si>
  <si>
    <t>Average of digital_spend</t>
  </si>
  <si>
    <t>Average of trust_spend</t>
  </si>
  <si>
    <t>Sum of partnership_spend</t>
  </si>
  <si>
    <t>Average of partnership_spend</t>
  </si>
  <si>
    <t>Average of traditional_spend</t>
  </si>
  <si>
    <t xml:space="preserve"> </t>
  </si>
  <si>
    <t>Traditional_spend</t>
  </si>
  <si>
    <t>Digital_spend</t>
  </si>
  <si>
    <t>Partnership_spend</t>
  </si>
  <si>
    <t>Trust_spend</t>
  </si>
  <si>
    <t>Category</t>
  </si>
  <si>
    <t>Total_spend</t>
  </si>
  <si>
    <t>Average_spend</t>
  </si>
  <si>
    <t>performance channel</t>
  </si>
  <si>
    <t>support_channels</t>
  </si>
  <si>
    <t>Sum of TV</t>
  </si>
  <si>
    <t>Sum of Billboards</t>
  </si>
  <si>
    <t>Average of TV2</t>
  </si>
  <si>
    <t>Average of Billboards2</t>
  </si>
  <si>
    <t>Tv</t>
  </si>
  <si>
    <t>Sum of performance channel</t>
  </si>
  <si>
    <t>Sum of support_channels</t>
  </si>
  <si>
    <t>Average of performance channel2</t>
  </si>
  <si>
    <t>Average of support_channels2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</si>
</sst>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2.99349212963" createdVersion="8" refreshedVersion="8" minRefreshableVersion="3" recordCount="300" xr:uid="{5D842A4B-C28A-4321-8447-1FEA20206339}">
  <cacheSource type="worksheet">
    <worksheetSource ref="A1:N301" sheet="cleaned_data"/>
  </cacheSource>
  <cacheFields count="14">
    <cacheField name="TV" numFmtId="0">
      <sharedItems containsSemiMixedTypes="0" containsString="0" containsNumber="1" minValue="1.04" maxValue="998.1"/>
    </cacheField>
    <cacheField name="Billboards" numFmtId="0">
      <sharedItems containsSemiMixedTypes="0" containsString="0" containsNumber="1" minValue="3.63" maxValue="995.32"/>
    </cacheField>
    <cacheField name="Google_Ads" numFmtId="0">
      <sharedItems containsSemiMixedTypes="0" containsString="0" containsNumber="1" minValue="14.86" maxValue="999.23"/>
    </cacheField>
    <cacheField name="Social_Media" numFmtId="0">
      <sharedItems containsSemiMixedTypes="0" containsString="0" containsNumber="1" minValue="11.69" maxValue="996.16"/>
    </cacheField>
    <cacheField name="Influencer_Marketing" numFmtId="0">
      <sharedItems containsSemiMixedTypes="0" containsString="0" containsNumber="1" minValue="0.77" maxValue="999.83"/>
    </cacheField>
    <cacheField name="Affiliate_Marketing" numFmtId="0">
      <sharedItems containsSemiMixedTypes="0" containsString="0" containsNumber="1" minValue="6.74" maxValue="987.58"/>
    </cacheField>
    <cacheField name="Product_Sold" numFmtId="0">
      <sharedItems containsSemiMixedTypes="0" containsString="0" containsNumber="1" containsInteger="1" minValue="2259" maxValue="12227"/>
    </cacheField>
    <cacheField name="product_sold_range " numFmtId="0">
      <sharedItems count="4">
        <s v="7000-8999"/>
        <s v="5000-6999"/>
        <s v="9000+"/>
        <s v="0-5000"/>
      </sharedItems>
    </cacheField>
    <cacheField name="total_spend" numFmtId="0">
      <sharedItems containsSemiMixedTypes="0" containsString="0" containsNumber="1" minValue="1150.1100000000001" maxValue="5225.42"/>
    </cacheField>
    <cacheField name="Cost_per_sale" numFmtId="2">
      <sharedItems containsSemiMixedTypes="0" containsString="0" containsNumber="1" minValue="0.33837411112450289" maxValue="0.62825586542718015"/>
    </cacheField>
    <cacheField name="traditional_spend" numFmtId="0">
      <sharedItems containsSemiMixedTypes="0" containsString="0" containsNumber="1" minValue="20.72" maxValue="1856.85" count="300">
        <n v="820.22"/>
        <n v="999.5"/>
        <n v="609.07999999999993"/>
        <n v="959.79"/>
        <n v="1317.24"/>
        <n v="1119.4000000000001"/>
        <n v="1041.6599999999999"/>
        <n v="946.66000000000008"/>
        <n v="1416.9099999999999"/>
        <n v="1133.99"/>
        <n v="1245.02"/>
        <n v="1735.06"/>
        <n v="1402.94"/>
        <n v="1397.59"/>
        <n v="838.18"/>
        <n v="849.33"/>
        <n v="753.14"/>
        <n v="1846.18"/>
        <n v="1162.94"/>
        <n v="983.29000000000008"/>
        <n v="1811.69"/>
        <n v="877.79"/>
        <n v="718.3"/>
        <n v="465.59000000000003"/>
        <n v="848.95"/>
        <n v="1318.16"/>
        <n v="497.53"/>
        <n v="674.16000000000008"/>
        <n v="871.9"/>
        <n v="1071.06"/>
        <n v="1006.1099999999999"/>
        <n v="1230.58"/>
        <n v="1519.02"/>
        <n v="1349.7199999999998"/>
        <n v="1282.72"/>
        <n v="937.6"/>
        <n v="683.02"/>
        <n v="558.5"/>
        <n v="1390.4"/>
        <n v="884.26"/>
        <n v="215.48000000000002"/>
        <n v="931.04"/>
        <n v="1327.87"/>
        <n v="770.28"/>
        <n v="1237.81"/>
        <n v="1275.05"/>
        <n v="1548.5500000000002"/>
        <n v="1303.05"/>
        <n v="1049.6399999999999"/>
        <n v="652.52"/>
        <n v="829.22"/>
        <n v="1159.42"/>
        <n v="615.32999999999993"/>
        <n v="997.17"/>
        <n v="1100.18"/>
        <n v="1326.1599999999999"/>
        <n v="1377.06"/>
        <n v="751.22"/>
        <n v="571.4"/>
        <n v="987.29"/>
        <n v="1376.1299999999999"/>
        <n v="866.94"/>
        <n v="481.03"/>
        <n v="1461.79"/>
        <n v="1605.35"/>
        <n v="1192.17"/>
        <n v="237.6"/>
        <n v="1333.06"/>
        <n v="672.46"/>
        <n v="1808.96"/>
        <n v="1041.53"/>
        <n v="780.7"/>
        <n v="1136.8600000000001"/>
        <n v="910.06999999999994"/>
        <n v="443.26"/>
        <n v="665.64"/>
        <n v="1378.33"/>
        <n v="1571.76"/>
        <n v="523.29999999999995"/>
        <n v="1609.8000000000002"/>
        <n v="609.66999999999996"/>
        <n v="1199.2800000000002"/>
        <n v="994.81000000000006"/>
        <n v="563.85"/>
        <n v="956.65000000000009"/>
        <n v="1147.6300000000001"/>
        <n v="761.19"/>
        <n v="1341.93"/>
        <n v="305.03000000000003"/>
        <n v="885.24"/>
        <n v="456.89"/>
        <n v="1396.69"/>
        <n v="1799.78"/>
        <n v="1824.96"/>
        <n v="507.28"/>
        <n v="1322.06"/>
        <n v="1613.59"/>
        <n v="867.6400000000001"/>
        <n v="1126.3800000000001"/>
        <n v="641.99"/>
        <n v="897.26"/>
        <n v="1151.21"/>
        <n v="175.11"/>
        <n v="927.12"/>
        <n v="1536.99"/>
        <n v="787.1"/>
        <n v="1141.3599999999999"/>
        <n v="620.86"/>
        <n v="1612.3899999999999"/>
        <n v="828.97"/>
        <n v="707.15"/>
        <n v="1470.73"/>
        <n v="829.91000000000008"/>
        <n v="623.84"/>
        <n v="964.89"/>
        <n v="1029.3400000000001"/>
        <n v="1008.47"/>
        <n v="857.29"/>
        <n v="521.69000000000005"/>
        <n v="747.54"/>
        <n v="1566.48"/>
        <n v="1295.7800000000002"/>
        <n v="978.28"/>
        <n v="1381.24"/>
        <n v="429.87"/>
        <n v="1135.53"/>
        <n v="1235.8899999999999"/>
        <n v="1228.56"/>
        <n v="1177.5999999999999"/>
        <n v="1789.25"/>
        <n v="535.6"/>
        <n v="799.26"/>
        <n v="1520.85"/>
        <n v="1248.46"/>
        <n v="1219.43"/>
        <n v="1191"/>
        <n v="1587.22"/>
        <n v="726.49"/>
        <n v="1174.99"/>
        <n v="673.37"/>
        <n v="1286.5899999999999"/>
        <n v="1763.1399999999999"/>
        <n v="1329.03"/>
        <n v="425.42999999999995"/>
        <n v="574.20000000000005"/>
        <n v="20.72"/>
        <n v="408.58"/>
        <n v="1512.22"/>
        <n v="1765.0900000000001"/>
        <n v="579.30999999999995"/>
        <n v="1166.98"/>
        <n v="695.17000000000007"/>
        <n v="589.1"/>
        <n v="1259.2"/>
        <n v="1129.6500000000001"/>
        <n v="671.25"/>
        <n v="697.04"/>
        <n v="1009.4200000000001"/>
        <n v="625.11"/>
        <n v="910.56999999999994"/>
        <n v="594.61"/>
        <n v="876.56"/>
        <n v="1281.1399999999999"/>
        <n v="795.45"/>
        <n v="819.58"/>
        <n v="1584.34"/>
        <n v="417.39"/>
        <n v="1189.05"/>
        <n v="1018.8499999999999"/>
        <n v="1232.1500000000001"/>
        <n v="945.07999999999993"/>
        <n v="1029.48"/>
        <n v="753.06999999999994"/>
        <n v="1132.3699999999999"/>
        <n v="893.2"/>
        <n v="440.98"/>
        <n v="341.75"/>
        <n v="1110.82"/>
        <n v="1765.49"/>
        <n v="953.19"/>
        <n v="890.69"/>
        <n v="840.77"/>
        <n v="961.84999999999991"/>
        <n v="1432.4"/>
        <n v="1780.32"/>
        <n v="459.29"/>
        <n v="856.1400000000001"/>
        <n v="948.04"/>
        <n v="1333.9"/>
        <n v="586.74"/>
        <n v="790.5200000000001"/>
        <n v="607.38"/>
        <n v="1094.05"/>
        <n v="1476.22"/>
        <n v="659.09999999999991"/>
        <n v="229.26"/>
        <n v="1605.47"/>
        <n v="643.79999999999995"/>
        <n v="511.24"/>
        <n v="1263.29"/>
        <n v="1110.71"/>
        <n v="1467.23"/>
        <n v="736.98"/>
        <n v="318.09000000000003"/>
        <n v="1038.52"/>
        <n v="1445.17"/>
        <n v="1012.1800000000001"/>
        <n v="1588.2199999999998"/>
        <n v="1345.51"/>
        <n v="1561.38"/>
        <n v="781.71"/>
        <n v="682.52"/>
        <n v="629.37"/>
        <n v="404.16999999999996"/>
        <n v="849.63"/>
        <n v="787.53"/>
        <n v="970.76"/>
        <n v="1281.95"/>
        <n v="927.15"/>
        <n v="806.83999999999992"/>
        <n v="968.56"/>
        <n v="1287"/>
        <n v="719.5"/>
        <n v="800.03"/>
        <n v="437.48"/>
        <n v="934.2"/>
        <n v="805"/>
        <n v="381.84000000000003"/>
        <n v="450.14"/>
        <n v="793.67000000000007"/>
        <n v="807.20999999999992"/>
        <n v="287.96999999999997"/>
        <n v="1194.1500000000001"/>
        <n v="865.75"/>
        <n v="1038.75"/>
        <n v="1028.3800000000001"/>
        <n v="988.3"/>
        <n v="1446.88"/>
        <n v="1371.92"/>
        <n v="1111.47"/>
        <n v="1076.52"/>
        <n v="924.41000000000008"/>
        <n v="844.7700000000001"/>
        <n v="1070.72"/>
        <n v="294.46000000000004"/>
        <n v="598.12"/>
        <n v="861.63000000000011"/>
        <n v="1491.6599999999999"/>
        <n v="866.95"/>
        <n v="1214.33"/>
        <n v="1123.47"/>
        <n v="1318.04"/>
        <n v="1583.13"/>
        <n v="846.16"/>
        <n v="1826.1399999999999"/>
        <n v="1332.28"/>
        <n v="536.67000000000007"/>
        <n v="1100.8"/>
        <n v="1454.18"/>
        <n v="721.25"/>
        <n v="1161.9000000000001"/>
        <n v="1108.3699999999999"/>
        <n v="225.62"/>
        <n v="1286.21"/>
        <n v="603.5"/>
        <n v="726.65"/>
        <n v="1567.99"/>
        <n v="507.09"/>
        <n v="979.19"/>
        <n v="1771.23"/>
        <n v="1277.44"/>
        <n v="1709.65"/>
        <n v="1293.6299999999999"/>
        <n v="1310.97"/>
        <n v="1270.56"/>
        <n v="392.20000000000005"/>
        <n v="488.98"/>
        <n v="1781.18"/>
        <n v="1286.54"/>
        <n v="989.98"/>
        <n v="1034.4100000000001"/>
        <n v="616.42000000000007"/>
        <n v="1672.09"/>
        <n v="1607.3200000000002"/>
        <n v="1633.3200000000002"/>
        <n v="1264.3900000000001"/>
        <n v="806.32999999999993"/>
        <n v="1729.4099999999999"/>
        <n v="904.45"/>
        <n v="1196.81"/>
        <n v="528.45000000000005"/>
        <n v="736.77"/>
        <n v="674.28"/>
        <n v="1601.54"/>
        <n v="1554.75"/>
        <n v="1271.4099999999999"/>
        <n v="763.21"/>
        <n v="1856.85"/>
        <n v="1003.57"/>
        <n v="1361.22"/>
      </sharedItems>
    </cacheField>
    <cacheField name="digital_spend" numFmtId="0">
      <sharedItems containsSemiMixedTypes="0" containsString="0" containsNumber="1" minValue="83.039999999999992" maxValue="1933.96" count="300">
        <n v="473.24"/>
        <n v="738.68000000000006"/>
        <n v="1148.67"/>
        <n v="789.66000000000008"/>
        <n v="1318.24"/>
        <n v="373.63"/>
        <n v="474.88"/>
        <n v="274.46000000000004"/>
        <n v="1555.3600000000001"/>
        <n v="729.38"/>
        <n v="1868.47"/>
        <n v="1876.4499999999998"/>
        <n v="1395.48"/>
        <n v="384.96"/>
        <n v="1298.5"/>
        <n v="718.97"/>
        <n v="1103.3499999999999"/>
        <n v="953.29"/>
        <n v="681.05000000000007"/>
        <n v="733.61"/>
        <n v="1158.69"/>
        <n v="1133.5899999999999"/>
        <n v="509.04999999999995"/>
        <n v="1006.56"/>
        <n v="1670.96"/>
        <n v="1236.8400000000001"/>
        <n v="1510.78"/>
        <n v="820.88000000000011"/>
        <n v="1553.15"/>
        <n v="1097.0999999999999"/>
        <n v="710.63"/>
        <n v="606.55999999999995"/>
        <n v="1172.32"/>
        <n v="488.12"/>
        <n v="1415.8600000000001"/>
        <n v="1358.33"/>
        <n v="342.34000000000003"/>
        <n v="373.21999999999997"/>
        <n v="1536.35"/>
        <n v="1405.5900000000001"/>
        <n v="387.35"/>
        <n v="544.62"/>
        <n v="491.4"/>
        <n v="911.38000000000011"/>
        <n v="975.35"/>
        <n v="769.01"/>
        <n v="504.97"/>
        <n v="1510.6"/>
        <n v="853.11"/>
        <n v="1638.1999999999998"/>
        <n v="1100.46"/>
        <n v="1174.24"/>
        <n v="707.78"/>
        <n v="1223.6199999999999"/>
        <n v="544.04"/>
        <n v="588.32000000000005"/>
        <n v="1239.1000000000001"/>
        <n v="920.75"/>
        <n v="1035.96"/>
        <n v="936.67000000000007"/>
        <n v="1513.74"/>
        <n v="1828.78"/>
        <n v="909.92"/>
        <n v="1293.26"/>
        <n v="1314.42"/>
        <n v="1334.37"/>
        <n v="83.039999999999992"/>
        <n v="457.53"/>
        <n v="888.04"/>
        <n v="698.69"/>
        <n v="1154.7"/>
        <n v="1142.95"/>
        <n v="1533.48"/>
        <n v="1226.19"/>
        <n v="1275.29"/>
        <n v="1442.71"/>
        <n v="894.75"/>
        <n v="624.16"/>
        <n v="565.41000000000008"/>
        <n v="1169.19"/>
        <n v="1632.1100000000001"/>
        <n v="1264.6300000000001"/>
        <n v="1186.3599999999999"/>
        <n v="1504.88"/>
        <n v="1269.2"/>
        <n v="1108.45"/>
        <n v="1515.35"/>
        <n v="1019.63"/>
        <n v="1106.7"/>
        <n v="751.81"/>
        <n v="1012.3000000000001"/>
        <n v="630.1"/>
        <n v="521.91999999999996"/>
        <n v="1343.99"/>
        <n v="1115.77"/>
        <n v="792.38"/>
        <n v="1147.92"/>
        <n v="960.65000000000009"/>
        <n v="816.49"/>
        <n v="242.76999999999998"/>
        <n v="1215.77"/>
        <n v="906.52"/>
        <n v="1203.08"/>
        <n v="578.96"/>
        <n v="302.76"/>
        <n v="314.07"/>
        <n v="1122"/>
        <n v="1628.88"/>
        <n v="1522.71"/>
        <n v="945.48"/>
        <n v="769.09999999999991"/>
        <n v="396.42"/>
        <n v="1272.8600000000001"/>
        <n v="1081.76"/>
        <n v="939.14"/>
        <n v="569.75"/>
        <n v="972.52"/>
        <n v="1353.27"/>
        <n v="1286.3600000000001"/>
        <n v="618.23"/>
        <n v="987.29"/>
        <n v="1105.04"/>
        <n v="670.67000000000007"/>
        <n v="795.52"/>
        <n v="1582.6599999999999"/>
        <n v="673.75"/>
        <n v="1102.33"/>
        <n v="1018.9100000000001"/>
        <n v="1381.9499999999998"/>
        <n v="831.76"/>
        <n v="928.64"/>
        <n v="1145.3699999999999"/>
        <n v="1661.69"/>
        <n v="1482.54"/>
        <n v="666.87"/>
        <n v="755.58"/>
        <n v="808.26"/>
        <n v="1166.92"/>
        <n v="461.31"/>
        <n v="538.28"/>
        <n v="985.56"/>
        <n v="809.98"/>
        <n v="637.43000000000006"/>
        <n v="1665.21"/>
        <n v="279.58"/>
        <n v="956.38"/>
        <n v="984.91"/>
        <n v="1933.96"/>
        <n v="832.56"/>
        <n v="940.81999999999994"/>
        <n v="1512.33"/>
        <n v="1166.96"/>
        <n v="1571.08"/>
        <n v="1360.19"/>
        <n v="1311.72"/>
        <n v="1335.29"/>
        <n v="962.73"/>
        <n v="493.90999999999997"/>
        <n v="815.62"/>
        <n v="555.51"/>
        <n v="582.69000000000005"/>
        <n v="865.61"/>
        <n v="750.09"/>
        <n v="960.31999999999994"/>
        <n v="952.81999999999994"/>
        <n v="1581.52"/>
        <n v="1642.65"/>
        <n v="607.47"/>
        <n v="1627.13"/>
        <n v="179.04"/>
        <n v="1468.17"/>
        <n v="355.68"/>
        <n v="602.63"/>
        <n v="1028.44"/>
        <n v="699.7"/>
        <n v="658.30000000000007"/>
        <n v="731.85"/>
        <n v="486.16"/>
        <n v="1826.03"/>
        <n v="1188.1500000000001"/>
        <n v="398.37"/>
        <n v="212.84"/>
        <n v="1354.3"/>
        <n v="412.64"/>
        <n v="541.07999999999993"/>
        <n v="388.93"/>
        <n v="1102.45"/>
        <n v="1023.9000000000001"/>
        <n v="776.07"/>
        <n v="1470.46"/>
        <n v="1732.98"/>
        <n v="1234.3699999999999"/>
        <n v="1332.49"/>
        <n v="1148.31"/>
        <n v="1804.28"/>
        <n v="860.57999999999993"/>
        <n v="1380.28"/>
        <n v="832.35"/>
        <n v="1311.63"/>
        <n v="852.71"/>
        <n v="1275.53"/>
        <n v="455"/>
        <n v="941.26"/>
        <n v="695.31999999999994"/>
        <n v="1329.51"/>
        <n v="1044.0900000000001"/>
        <n v="955.52"/>
        <n v="808.71999999999991"/>
        <n v="884.67000000000007"/>
        <n v="278.2"/>
        <n v="1243.2"/>
        <n v="711.77"/>
        <n v="1008.8199999999999"/>
        <n v="521.98"/>
        <n v="620.78"/>
        <n v="1473.38"/>
        <n v="1497.8200000000002"/>
        <n v="1168.1500000000001"/>
        <n v="85.32"/>
        <n v="1429.66"/>
        <n v="1575.92"/>
        <n v="563.79"/>
        <n v="1142.3800000000001"/>
        <n v="445.57"/>
        <n v="1670.85"/>
        <n v="1483.31"/>
        <n v="663.37"/>
        <n v="1025.3800000000001"/>
        <n v="986.54"/>
        <n v="1343.63"/>
        <n v="630.90000000000009"/>
        <n v="925.25"/>
        <n v="374.99"/>
        <n v="1095.5700000000002"/>
        <n v="1542.68"/>
        <n v="843.76"/>
        <n v="1084.6199999999999"/>
        <n v="692.62"/>
        <n v="480.14"/>
        <n v="1387.74"/>
        <n v="428.79"/>
        <n v="1251.1299999999999"/>
        <n v="1701.32"/>
        <n v="1410.19"/>
        <n v="1353.81"/>
        <n v="526.05000000000007"/>
        <n v="368.22"/>
        <n v="894.08"/>
        <n v="674.13"/>
        <n v="932.7"/>
        <n v="1050.75"/>
        <n v="983.96"/>
        <n v="1363.6499999999999"/>
        <n v="1244.56"/>
        <n v="590.12"/>
        <n v="1345.72"/>
        <n v="1066.8499999999999"/>
        <n v="614.4"/>
        <n v="1294.19"/>
        <n v="118.78"/>
        <n v="932.33999999999992"/>
        <n v="703.16"/>
        <n v="1042.5899999999999"/>
        <n v="559.47"/>
        <n v="1058.9100000000001"/>
        <n v="1149.98"/>
        <n v="689.78"/>
        <n v="603.5"/>
        <n v="944.66"/>
        <n v="1449.63"/>
        <n v="1106.83"/>
        <n v="1385.51"/>
        <n v="1786.6799999999998"/>
        <n v="1304.1399999999999"/>
        <n v="740.21"/>
        <n v="794.72"/>
        <n v="1315.8899999999999"/>
        <n v="816.39"/>
        <n v="853.56999999999994"/>
        <n v="918.18"/>
        <n v="1648.05"/>
        <n v="300.38"/>
        <n v="1218.32"/>
        <n v="1573.0900000000001"/>
        <n v="1810.0900000000001"/>
        <n v="1607.81"/>
        <n v="1245.8599999999999"/>
        <n v="938.04000000000008"/>
        <n v="1432.71"/>
        <n v="1289.26"/>
        <n v="1391.73"/>
        <n v="1098.46"/>
        <n v="795"/>
        <n v="1858.5300000000002"/>
        <n v="981.01"/>
        <n v="866.86"/>
        <n v="740.73"/>
        <n v="841.67"/>
        <n v="983.93999999999994"/>
        <n v="1104.0899999999999"/>
      </sharedItems>
    </cacheField>
    <cacheField name="partnership_spend" numFmtId="0">
      <sharedItems containsSemiMixedTypes="0" containsString="0" containsNumber="1" minValue="6.74" maxValue="987.58" count="300">
        <n v="910.1"/>
        <n v="132.43"/>
        <n v="464.23"/>
        <n v="432.27"/>
        <n v="841.93"/>
        <n v="965.77"/>
        <n v="366.25"/>
        <n v="251.74"/>
        <n v="515.16"/>
        <n v="931.65"/>
        <n v="852.99"/>
        <n v="742.36"/>
        <n v="211.92"/>
        <n v="585.74"/>
        <n v="778.49"/>
        <n v="271.07"/>
        <n v="155.53"/>
        <n v="307.14"/>
        <n v="408.68"/>
        <n v="710.91"/>
        <n v="38.61"/>
        <n v="399.95"/>
        <n v="559.04999999999995"/>
        <n v="636.41999999999996"/>
        <n v="581.76"/>
        <n v="633.09"/>
        <n v="145.27000000000001"/>
        <n v="385.92"/>
        <n v="129.04"/>
        <n v="430.35"/>
        <n v="269.41000000000003"/>
        <n v="274.45"/>
        <n v="308.37"/>
        <n v="481.27"/>
        <n v="450.98"/>
        <n v="306.31"/>
        <n v="206.04"/>
        <n v="667.78"/>
        <n v="385.17"/>
        <n v="452.69"/>
        <n v="923.44"/>
        <n v="720.36"/>
        <n v="825.6"/>
        <n v="902.89"/>
        <n v="57.44"/>
        <n v="987.58"/>
        <n v="170.85"/>
        <n v="85.29"/>
        <n v="328.88"/>
        <n v="483.1"/>
        <n v="270.87"/>
        <n v="64.39"/>
        <n v="311.58999999999997"/>
        <n v="240.13"/>
        <n v="616.45000000000005"/>
        <n v="542.41999999999996"/>
        <n v="689.01"/>
        <n v="390.64"/>
        <n v="71.12"/>
        <n v="595.38"/>
        <n v="902.26"/>
        <n v="949.15"/>
        <n v="185.25"/>
        <n v="206.43"/>
        <n v="192.38"/>
        <n v="327.23"/>
        <n v="791.91"/>
        <n v="914.72"/>
        <n v="510.47"/>
        <n v="260.66000000000003"/>
        <n v="859.22"/>
        <n v="928.28"/>
        <n v="599.91"/>
        <n v="257"/>
        <n v="381.03"/>
        <n v="931.95"/>
        <n v="493.39"/>
        <n v="318.33"/>
        <n v="353.31"/>
        <n v="378.63"/>
        <n v="501.63"/>
        <n v="237.67"/>
        <n v="19.489999999999998"/>
        <n v="901.14"/>
        <n v="324.89999999999998"/>
        <n v="681.44"/>
        <n v="294"/>
        <n v="22.11"/>
        <n v="74.930000000000007"/>
        <n v="776.77"/>
        <n v="623.62"/>
        <n v="926.73"/>
        <n v="531.79"/>
        <n v="574.97"/>
        <n v="372.7"/>
        <n v="337.1"/>
        <n v="907.57"/>
        <n v="635.29999999999995"/>
        <n v="169.63"/>
        <n v="90.42"/>
        <n v="809.25"/>
        <n v="833.02"/>
        <n v="429.3"/>
        <n v="694.12"/>
        <n v="685.77"/>
        <n v="968.01"/>
        <n v="293.48"/>
        <n v="750.43"/>
        <n v="378.28"/>
        <n v="786.09"/>
        <n v="68.650000000000006"/>
        <n v="834.14"/>
        <n v="377.89"/>
        <n v="814.73"/>
        <n v="85.44"/>
        <n v="285.02"/>
        <n v="710.22"/>
        <n v="769.94"/>
        <n v="54.17"/>
        <n v="763.13"/>
        <n v="864.11"/>
        <n v="160.29"/>
        <n v="389.7"/>
        <n v="923.42"/>
        <n v="280.3"/>
        <n v="436.94"/>
        <n v="325.88"/>
        <n v="718.15"/>
        <n v="459.97"/>
        <n v="351.3"/>
        <n v="860.7"/>
        <n v="413.95"/>
        <n v="454.2"/>
        <n v="318.49"/>
        <n v="211.18"/>
        <n v="532.65"/>
        <n v="262.48"/>
        <n v="789.95"/>
        <n v="981.17"/>
        <n v="936.46"/>
        <n v="138.78"/>
        <n v="762.27"/>
        <n v="515.51"/>
        <n v="623.30999999999995"/>
        <n v="641.67999999999995"/>
        <n v="63.1"/>
        <n v="582.58000000000004"/>
        <n v="307.13"/>
        <n v="632.37"/>
        <n v="661.73"/>
        <n v="312.64"/>
        <n v="743.54"/>
        <n v="662.19"/>
        <n v="605.12"/>
        <n v="481.94"/>
        <n v="525.67999999999995"/>
        <n v="275.16000000000003"/>
        <n v="438.19"/>
        <n v="845.14"/>
        <n v="294.95999999999998"/>
        <n v="409.45"/>
        <n v="807.56"/>
        <n v="609.28"/>
        <n v="85.62"/>
        <n v="610.5"/>
        <n v="354.16"/>
        <n v="324.74"/>
        <n v="336.4"/>
        <n v="681.15"/>
        <n v="738.4"/>
        <n v="704.23"/>
        <n v="141.22999999999999"/>
        <n v="497.95"/>
        <n v="271.45999999999998"/>
        <n v="206.61"/>
        <n v="196.52"/>
        <n v="178.45"/>
        <n v="453.17"/>
        <n v="149.38999999999999"/>
        <n v="148.75"/>
        <n v="886.06"/>
        <n v="559.16"/>
        <n v="218.46"/>
        <n v="415.97"/>
        <n v="892.39"/>
        <n v="247.19"/>
        <n v="376.2"/>
        <n v="313.52999999999997"/>
        <n v="366.76"/>
        <n v="185.11"/>
        <n v="71.72"/>
        <n v="574.23"/>
        <n v="632.86"/>
        <n v="58.23"/>
        <n v="277.63"/>
        <n v="234.05"/>
        <n v="910.61"/>
        <n v="342"/>
        <n v="489.56"/>
        <n v="224.78"/>
        <n v="363.92"/>
        <n v="677.84"/>
        <n v="837.58"/>
        <n v="748.99"/>
        <n v="411.91"/>
        <n v="608.69000000000005"/>
        <n v="255.77"/>
        <n v="765.11"/>
        <n v="821.56"/>
        <n v="423.56"/>
        <n v="733.99"/>
        <n v="972.78"/>
        <n v="34.17"/>
        <n v="937.95"/>
        <n v="723.18"/>
        <n v="933.53"/>
        <n v="30.01"/>
        <n v="435.6"/>
        <n v="365.65"/>
        <n v="525.86"/>
        <n v="119.33"/>
        <n v="817.47"/>
        <n v="984.5"/>
        <n v="20.55"/>
        <n v="537.87"/>
        <n v="26.23"/>
        <n v="205.21"/>
        <n v="374.83"/>
        <n v="138.33000000000001"/>
        <n v="122.8"/>
        <n v="34.15"/>
        <n v="600.27"/>
        <n v="638.98"/>
        <n v="797.64"/>
        <n v="617.94000000000005"/>
        <n v="325.35000000000002"/>
        <n v="912.46"/>
        <n v="30.48"/>
        <n v="839.26"/>
        <n v="693.94"/>
        <n v="528.82000000000005"/>
        <n v="132.66999999999999"/>
        <n v="581.26"/>
        <n v="406.3"/>
        <n v="661.03"/>
        <n v="295.33"/>
        <n v="87.95"/>
        <n v="919.77"/>
        <n v="676.01"/>
        <n v="451.65"/>
        <n v="978.82"/>
        <n v="189.13"/>
        <n v="662.99"/>
        <n v="150.62"/>
        <n v="6.74"/>
        <n v="757.59"/>
        <n v="828.94"/>
        <n v="907.75"/>
        <n v="392.49"/>
        <n v="256.91000000000003"/>
        <n v="791.16"/>
        <n v="878.2"/>
        <n v="274.36"/>
        <n v="365.21"/>
        <n v="139.46"/>
        <n v="574.29999999999995"/>
        <n v="619.96"/>
        <n v="546.67999999999995"/>
        <n v="920.77"/>
        <n v="837.18"/>
        <n v="80.86"/>
        <n v="833.93"/>
        <n v="436"/>
        <n v="664.99"/>
        <n v="398.06"/>
        <n v="419.79"/>
        <n v="177.85"/>
        <n v="788.05"/>
        <n v="956.28"/>
        <n v="534.6"/>
        <n v="179.55"/>
        <n v="15.41"/>
        <n v="449.15"/>
        <n v="651.30999999999995"/>
        <n v="14.64"/>
        <n v="41.79"/>
        <n v="403.82"/>
        <n v="773.38"/>
        <n v="725.71"/>
        <n v="307.39999999999998"/>
        <n v="95.75"/>
        <n v="827.38"/>
        <n v="909.79"/>
        <n v="92.45"/>
        <n v="144.38999999999999"/>
        <n v="410.56"/>
        <n v="509.03"/>
        <n v="213.53"/>
        <n v="648.71"/>
        <n v="401.69"/>
      </sharedItems>
    </cacheField>
    <cacheField name="trust_spend" numFmtId="0">
      <sharedItems containsSemiMixedTypes="0" containsString="0" containsNumber="1" minValue="0.77" maxValue="999.83" count="300">
        <n v="242.77"/>
        <n v="781.06"/>
        <n v="438.91"/>
        <n v="278.95999999999998"/>
        <n v="396.33"/>
        <n v="171.79"/>
        <n v="70.040000000000006"/>
        <n v="116.67"/>
        <n v="857.13"/>
        <n v="577.38"/>
        <n v="789.52"/>
        <n v="871.55"/>
        <n v="702.96"/>
        <n v="588.45000000000005"/>
        <n v="515.59"/>
        <n v="685.88"/>
        <n v="485.4"/>
        <n v="62.99"/>
        <n v="820.43"/>
        <n v="178.92"/>
        <n v="120.96"/>
        <n v="680.24"/>
        <n v="106.09"/>
        <n v="238.44"/>
        <n v="760.58"/>
        <n v="227.02"/>
        <n v="0.77"/>
        <n v="673.3"/>
        <n v="271.49"/>
        <n v="739.97"/>
        <n v="120.21"/>
        <n v="452.77"/>
        <n v="827.64"/>
        <n v="984.21"/>
        <n v="3.28"/>
        <n v="872.4"/>
        <n v="169.94"/>
        <n v="52.77"/>
        <n v="827.6"/>
        <n v="898.26"/>
        <n v="547.99"/>
        <n v="959.81"/>
        <n v="836"/>
        <n v="351.06"/>
        <n v="846.53"/>
        <n v="117.05"/>
        <n v="811.17"/>
        <n v="868.45"/>
        <n v="916.96"/>
        <n v="11.18"/>
        <n v="241.79"/>
        <n v="246.33"/>
        <n v="200.25"/>
        <n v="522.14"/>
        <n v="47.44"/>
        <n v="654.41999999999996"/>
        <n v="285.79000000000002"/>
        <n v="486.13"/>
        <n v="527.03"/>
        <n v="282.27"/>
        <n v="479.18"/>
        <n v="559.91"/>
        <n v="628.77"/>
        <n v="775.83"/>
        <n v="394.54"/>
        <n v="781.79"/>
        <n v="485.85"/>
        <n v="223.6"/>
        <n v="825.37"/>
        <n v="368.12"/>
        <n v="105.81"/>
        <n v="176.67"/>
        <n v="695.52"/>
        <n v="193.77"/>
        <n v="890.43"/>
        <n v="721.16"/>
        <n v="49.45"/>
        <n v="344.75"/>
        <n v="118.13"/>
        <n v="150.16999999999999"/>
        <n v="338.91"/>
        <n v="665.91"/>
        <n v="576.67999999999995"/>
        <n v="216.48"/>
        <n v="548.07000000000005"/>
        <n v="999.79"/>
        <n v="490.43"/>
        <n v="807.26"/>
        <n v="885.97"/>
        <n v="109.3"/>
        <n v="143.65"/>
        <n v="91.26"/>
        <n v="570.23"/>
        <n v="331.65"/>
        <n v="256.97000000000003"/>
        <n v="883.59"/>
        <n v="938.7"/>
        <n v="255.6"/>
        <n v="565.17999999999995"/>
        <n v="622.67999999999995"/>
        <n v="534.30999999999995"/>
        <n v="563.82000000000005"/>
        <n v="363.65"/>
        <n v="839.57"/>
        <n v="326.14999999999998"/>
        <n v="547.35"/>
        <n v="691.84"/>
        <n v="11.75"/>
        <n v="75.72"/>
        <n v="952.84"/>
        <n v="251.5"/>
        <n v="649.55999999999995"/>
        <n v="21.56"/>
        <n v="784.36"/>
        <n v="979.73"/>
        <n v="378.52"/>
        <n v="770.3"/>
        <n v="414.81"/>
        <n v="598.62"/>
        <n v="502.62"/>
        <n v="791"/>
        <n v="614.91999999999996"/>
        <n v="267.08999999999997"/>
        <n v="732.13"/>
        <n v="480.55"/>
        <n v="956.05"/>
        <n v="61.92"/>
        <n v="278.87"/>
        <n v="929.73"/>
        <n v="555.19000000000005"/>
        <n v="1.1000000000000001"/>
        <n v="449.85"/>
        <n v="117.02"/>
        <n v="927.93"/>
        <n v="901.61"/>
        <n v="966.39"/>
        <n v="342.12"/>
        <n v="179.2"/>
        <n v="251.04"/>
        <n v="998.3"/>
        <n v="879.12"/>
        <n v="772.64"/>
        <n v="100.51"/>
        <n v="624.59"/>
        <n v="669.73"/>
        <n v="379.03"/>
        <n v="293.02999999999997"/>
        <n v="761.14"/>
        <n v="24.8"/>
        <n v="310.61"/>
        <n v="332.73"/>
        <n v="41.61"/>
        <n v="703.49"/>
        <n v="616.29"/>
        <n v="193.18"/>
        <n v="307.22000000000003"/>
        <n v="105.33"/>
        <n v="952.81"/>
        <n v="849.61"/>
        <n v="803.95"/>
        <n v="119.34"/>
        <n v="730.23"/>
        <n v="525.42999999999995"/>
        <n v="744.53"/>
        <n v="492.74"/>
        <n v="999.83"/>
        <n v="574.96"/>
        <n v="411.96"/>
        <n v="84.35"/>
        <n v="786.1"/>
        <n v="74.290000000000006"/>
        <n v="6.18"/>
        <n v="324.37"/>
        <n v="688.64"/>
        <n v="614.44000000000005"/>
        <n v="853.58"/>
        <n v="412.79"/>
        <n v="124.85"/>
        <n v="255.73"/>
        <n v="902.65"/>
        <n v="297.79000000000002"/>
        <n v="694.57"/>
        <n v="57.51"/>
        <n v="970.38"/>
        <n v="296.66000000000003"/>
        <n v="598.42999999999995"/>
        <n v="220"/>
        <n v="797.7"/>
        <n v="777.93"/>
        <n v="405.67"/>
        <n v="9.5299999999999994"/>
        <n v="174.87"/>
        <n v="321.58999999999997"/>
        <n v="461.73"/>
        <n v="607.54999999999995"/>
        <n v="618.69000000000005"/>
        <n v="241.99"/>
        <n v="822.03"/>
        <n v="345.2"/>
        <n v="314.52"/>
        <n v="131.76"/>
        <n v="546.02"/>
        <n v="510.91"/>
        <n v="389.11"/>
        <n v="415.85"/>
        <n v="485.43"/>
        <n v="491.61"/>
        <n v="107.77"/>
        <n v="495.76"/>
        <n v="899.69"/>
        <n v="544.84"/>
        <n v="313.47000000000003"/>
        <n v="299.81"/>
        <n v="736.17"/>
        <n v="101.1"/>
        <n v="662.36"/>
        <n v="325.38"/>
        <n v="261.19"/>
        <n v="616.23"/>
        <n v="922.97"/>
        <n v="811.54"/>
        <n v="128.59"/>
        <n v="649.84"/>
        <n v="819.33"/>
        <n v="815.57"/>
        <n v="618.66"/>
        <n v="233.84"/>
        <n v="494.04"/>
        <n v="23.83"/>
        <n v="7.27"/>
        <n v="727.95"/>
        <n v="664.95"/>
        <n v="834.56"/>
        <n v="48.53"/>
        <n v="524.53"/>
        <n v="624.25"/>
        <n v="177.39"/>
        <n v="497.79"/>
        <n v="696.88"/>
        <n v="168.1"/>
        <n v="113.67"/>
        <n v="87.96"/>
        <n v="77.52"/>
        <n v="13.05"/>
        <n v="185.91"/>
        <n v="980.12"/>
        <n v="264.44"/>
        <n v="961.25"/>
        <n v="527.55999999999995"/>
        <n v="675.5"/>
        <n v="565.49"/>
        <n v="96.87"/>
        <n v="74.94"/>
        <n v="732.54"/>
        <n v="155.02000000000001"/>
        <n v="360.7"/>
        <n v="100.13"/>
        <n v="677.84"/>
        <n v="351.45"/>
        <n v="507.41"/>
        <n v="454.95"/>
        <n v="359.02"/>
        <n v="708.24"/>
        <n v="875.27"/>
        <n v="174.5"/>
        <n v="332.65"/>
        <n v="486.25"/>
        <n v="897.51"/>
        <n v="471.08"/>
        <n v="401.26"/>
        <n v="529.23"/>
        <n v="57.55"/>
        <n v="103.54"/>
        <n v="34.9"/>
        <n v="95.3"/>
        <n v="156.04"/>
        <n v="524.08000000000004"/>
        <n v="368.16"/>
        <n v="51.87"/>
        <n v="102.98"/>
        <n v="481.1"/>
        <n v="217.9"/>
        <n v="282.95"/>
        <n v="480.16"/>
        <n v="422.92"/>
        <n v="371.94"/>
        <n v="757.46"/>
        <n v="649.5"/>
        <n v="548.47"/>
        <n v="165.56"/>
        <n v="436.57"/>
        <n v="145.03"/>
        <n v="795"/>
        <n v="304.11"/>
        <n v="208.48"/>
        <n v="572.26"/>
        <n v="987.14"/>
        <n v="174.63"/>
        <n v="534.22"/>
        <n v="434.8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3.839498958332" createdVersion="8" refreshedVersion="8" minRefreshableVersion="3" recordCount="300" xr:uid="{46170D2F-6162-4352-965D-746E768AC25F}">
  <cacheSource type="worksheet">
    <worksheetSource ref="A1:P301" sheet="cleaned_data"/>
  </cacheSource>
  <cacheFields count="16">
    <cacheField name="TV" numFmtId="0">
      <sharedItems containsSemiMixedTypes="0" containsString="0" containsNumber="1" minValue="1.04" maxValue="998.1"/>
    </cacheField>
    <cacheField name="Billboards" numFmtId="0">
      <sharedItems containsSemiMixedTypes="0" containsString="0" containsNumber="1" minValue="3.63" maxValue="995.32"/>
    </cacheField>
    <cacheField name="Google_Ads" numFmtId="0">
      <sharedItems containsSemiMixedTypes="0" containsString="0" containsNumber="1" minValue="14.86" maxValue="999.23"/>
    </cacheField>
    <cacheField name="Social_Media" numFmtId="0">
      <sharedItems containsSemiMixedTypes="0" containsString="0" containsNumber="1" minValue="11.69" maxValue="996.16"/>
    </cacheField>
    <cacheField name="Influencer_Marketing" numFmtId="0">
      <sharedItems containsSemiMixedTypes="0" containsString="0" containsNumber="1" minValue="0.77" maxValue="999.83"/>
    </cacheField>
    <cacheField name="Affiliate_Marketing" numFmtId="0">
      <sharedItems containsSemiMixedTypes="0" containsString="0" containsNumber="1" minValue="6.74" maxValue="987.58"/>
    </cacheField>
    <cacheField name="Product_Sold" numFmtId="0">
      <sharedItems containsSemiMixedTypes="0" containsString="0" containsNumber="1" containsInteger="1" minValue="2259" maxValue="12227"/>
    </cacheField>
    <cacheField name="product_sold_range " numFmtId="0">
      <sharedItems count="4">
        <s v="7000-8999"/>
        <s v="5000-6999"/>
        <s v="9000+"/>
        <s v="0-5000"/>
      </sharedItems>
    </cacheField>
    <cacheField name="total_spend" numFmtId="0">
      <sharedItems containsSemiMixedTypes="0" containsString="0" containsNumber="1" minValue="1150.1100000000001" maxValue="5225.42"/>
    </cacheField>
    <cacheField name="Cost_per_sale" numFmtId="2">
      <sharedItems containsSemiMixedTypes="0" containsString="0" containsNumber="1" minValue="0.33837411112450289" maxValue="0.62825586542718015"/>
    </cacheField>
    <cacheField name="traditional_spend" numFmtId="0">
      <sharedItems containsSemiMixedTypes="0" containsString="0" containsNumber="1" minValue="20.72" maxValue="1856.85"/>
    </cacheField>
    <cacheField name="digital_spend" numFmtId="0">
      <sharedItems containsSemiMixedTypes="0" containsString="0" containsNumber="1" minValue="83.039999999999992" maxValue="1933.96"/>
    </cacheField>
    <cacheField name="partnership_spend" numFmtId="0">
      <sharedItems containsSemiMixedTypes="0" containsString="0" containsNumber="1" minValue="6.74" maxValue="987.58"/>
    </cacheField>
    <cacheField name="trust_spend" numFmtId="0">
      <sharedItems containsSemiMixedTypes="0" containsString="0" containsNumber="1" minValue="0.77" maxValue="999.83"/>
    </cacheField>
    <cacheField name="performance channel" numFmtId="0">
      <sharedItems containsSemiMixedTypes="0" containsString="0" containsNumber="1" minValue="320.64" maxValue="3611.5099999999998"/>
    </cacheField>
    <cacheField name="support_channels" numFmtId="0">
      <sharedItems containsSemiMixedTypes="0" containsString="0" containsNumber="1" minValue="81.25" maxValue="1934.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281.42"/>
    <n v="538.79999999999995"/>
    <n v="123.94"/>
    <n v="349.3"/>
    <n v="242.77"/>
    <n v="910.1"/>
    <n v="7164"/>
    <x v="0"/>
    <n v="2446.33"/>
    <n v="0.34147543271915132"/>
    <x v="0"/>
    <x v="0"/>
    <x v="0"/>
    <x v="0"/>
  </r>
  <r>
    <n v="702.97"/>
    <n v="296.52999999999997"/>
    <n v="558.13"/>
    <n v="180.55"/>
    <n v="781.06"/>
    <n v="132.43"/>
    <n v="5055"/>
    <x v="1"/>
    <n v="2651.6699999999996"/>
    <n v="0.52456379821958454"/>
    <x v="1"/>
    <x v="1"/>
    <x v="1"/>
    <x v="1"/>
  </r>
  <r>
    <n v="313.14"/>
    <n v="295.94"/>
    <n v="642.96"/>
    <n v="505.71"/>
    <n v="438.91"/>
    <n v="464.23"/>
    <n v="6154"/>
    <x v="1"/>
    <n v="2660.89"/>
    <n v="0.43238381540461485"/>
    <x v="2"/>
    <x v="2"/>
    <x v="2"/>
    <x v="2"/>
  </r>
  <r>
    <n v="898.52"/>
    <n v="61.27"/>
    <n v="548.73"/>
    <n v="240.93"/>
    <n v="278.95999999999998"/>
    <n v="432.27"/>
    <n v="5480"/>
    <x v="1"/>
    <n v="2460.6800000000003"/>
    <n v="0.44902919708029204"/>
    <x v="3"/>
    <x v="3"/>
    <x v="3"/>
    <x v="3"/>
  </r>
  <r>
    <n v="766.52"/>
    <n v="550.72"/>
    <n v="651.91"/>
    <n v="666.33"/>
    <n v="396.33"/>
    <n v="841.93"/>
    <n v="9669"/>
    <x v="2"/>
    <n v="3873.74"/>
    <n v="0.40063501913331262"/>
    <x v="4"/>
    <x v="4"/>
    <x v="4"/>
    <x v="4"/>
  </r>
  <r>
    <n v="507.13"/>
    <n v="612.27"/>
    <n v="230.67"/>
    <n v="142.96"/>
    <n v="171.79"/>
    <n v="965.77"/>
    <n v="7627"/>
    <x v="0"/>
    <n v="2630.59"/>
    <n v="0.3449049429657795"/>
    <x v="5"/>
    <x v="5"/>
    <x v="5"/>
    <x v="5"/>
  </r>
  <r>
    <n v="486.64"/>
    <n v="555.02"/>
    <n v="203.26"/>
    <n v="271.62"/>
    <n v="70.040000000000006"/>
    <n v="366.25"/>
    <n v="5177"/>
    <x v="1"/>
    <n v="1952.83"/>
    <n v="0.37721267143133086"/>
    <x v="6"/>
    <x v="6"/>
    <x v="6"/>
    <x v="6"/>
  </r>
  <r>
    <n v="762.09"/>
    <n v="184.57"/>
    <n v="176.61"/>
    <n v="97.85"/>
    <n v="116.67"/>
    <n v="251.74"/>
    <n v="3726"/>
    <x v="3"/>
    <n v="1589.53"/>
    <n v="0.42660493827160495"/>
    <x v="7"/>
    <x v="7"/>
    <x v="7"/>
    <x v="7"/>
  </r>
  <r>
    <n v="638.6"/>
    <n v="778.31"/>
    <n v="796.32"/>
    <n v="759.04"/>
    <n v="857.13"/>
    <n v="515.16"/>
    <n v="9801"/>
    <x v="2"/>
    <n v="4344.5600000000004"/>
    <n v="0.44327721661054997"/>
    <x v="8"/>
    <x v="8"/>
    <x v="8"/>
    <x v="8"/>
  </r>
  <r>
    <n v="591.48"/>
    <n v="542.51"/>
    <n v="400.23"/>
    <n v="329.15"/>
    <n v="577.38"/>
    <n v="931.65"/>
    <n v="8652"/>
    <x v="0"/>
    <n v="3372.4"/>
    <n v="0.38978270920018493"/>
    <x v="9"/>
    <x v="9"/>
    <x v="9"/>
    <x v="9"/>
  </r>
  <r>
    <n v="667.17"/>
    <n v="577.85"/>
    <n v="898.19"/>
    <n v="970.28"/>
    <n v="789.52"/>
    <n v="852.99"/>
    <n v="11210"/>
    <x v="2"/>
    <n v="4756"/>
    <n v="0.42426404995539696"/>
    <x v="10"/>
    <x v="10"/>
    <x v="10"/>
    <x v="10"/>
  </r>
  <r>
    <n v="787.33"/>
    <n v="947.73"/>
    <n v="884.15"/>
    <n v="992.3"/>
    <n v="871.55"/>
    <n v="742.36"/>
    <n v="12227"/>
    <x v="2"/>
    <n v="5225.42"/>
    <n v="0.42736730187290423"/>
    <x v="11"/>
    <x v="11"/>
    <x v="11"/>
    <x v="11"/>
  </r>
  <r>
    <n v="537.75"/>
    <n v="865.19"/>
    <n v="768.61"/>
    <n v="626.87"/>
    <n v="702.96"/>
    <n v="211.92"/>
    <n v="8093"/>
    <x v="0"/>
    <n v="3713.3"/>
    <n v="0.45882861732361302"/>
    <x v="12"/>
    <x v="12"/>
    <x v="12"/>
    <x v="12"/>
  </r>
  <r>
    <n v="735.78"/>
    <n v="661.81"/>
    <n v="282"/>
    <n v="102.96"/>
    <n v="588.45000000000005"/>
    <n v="585.74"/>
    <n v="7181"/>
    <x v="0"/>
    <n v="2956.74"/>
    <n v="0.41174488232836648"/>
    <x v="13"/>
    <x v="13"/>
    <x v="13"/>
    <x v="13"/>
  </r>
  <r>
    <n v="631.14"/>
    <n v="207.04"/>
    <n v="939.62"/>
    <n v="358.88"/>
    <n v="515.59"/>
    <n v="778.49"/>
    <n v="7910"/>
    <x v="0"/>
    <n v="3430.76"/>
    <n v="0.43372439949431102"/>
    <x v="14"/>
    <x v="14"/>
    <x v="14"/>
    <x v="14"/>
  </r>
  <r>
    <n v="334.12"/>
    <n v="515.21"/>
    <n v="565.22"/>
    <n v="153.75"/>
    <n v="685.88"/>
    <n v="271.07"/>
    <n v="5337"/>
    <x v="1"/>
    <n v="2525.2500000000005"/>
    <n v="0.47315907813378311"/>
    <x v="15"/>
    <x v="15"/>
    <x v="15"/>
    <x v="15"/>
  </r>
  <r>
    <n v="194.33"/>
    <n v="558.80999999999995"/>
    <n v="571.82000000000005"/>
    <n v="531.53"/>
    <n v="485.4"/>
    <n v="155.53"/>
    <n v="5468"/>
    <x v="1"/>
    <n v="2497.42"/>
    <n v="0.45673372348207758"/>
    <x v="16"/>
    <x v="16"/>
    <x v="16"/>
    <x v="16"/>
  </r>
  <r>
    <n v="955.97"/>
    <n v="890.21"/>
    <n v="343.96"/>
    <n v="609.33000000000004"/>
    <n v="62.99"/>
    <n v="307.14"/>
    <n v="7937"/>
    <x v="0"/>
    <n v="3169.5999999999995"/>
    <n v="0.39934484061988151"/>
    <x v="17"/>
    <x v="17"/>
    <x v="17"/>
    <x v="17"/>
  </r>
  <r>
    <n v="974.14"/>
    <n v="188.8"/>
    <n v="606.22"/>
    <n v="74.83"/>
    <n v="820.43"/>
    <n v="408.68"/>
    <n v="6228"/>
    <x v="1"/>
    <n v="3073.1"/>
    <n v="0.4934328837508028"/>
    <x v="18"/>
    <x v="18"/>
    <x v="18"/>
    <x v="18"/>
  </r>
  <r>
    <n v="93.47"/>
    <n v="889.82"/>
    <n v="702.23"/>
    <n v="31.38"/>
    <n v="178.92"/>
    <n v="710.91"/>
    <n v="7026"/>
    <x v="0"/>
    <n v="2606.73"/>
    <n v="0.3710119555935098"/>
    <x v="19"/>
    <x v="19"/>
    <x v="19"/>
    <x v="19"/>
  </r>
  <r>
    <n v="853.65"/>
    <n v="958.04"/>
    <n v="810.77"/>
    <n v="347.92"/>
    <n v="120.96"/>
    <n v="38.61"/>
    <n v="6966"/>
    <x v="1"/>
    <n v="3129.9500000000003"/>
    <n v="0.44931811656617859"/>
    <x v="20"/>
    <x v="20"/>
    <x v="20"/>
    <x v="20"/>
  </r>
  <r>
    <n v="79.78"/>
    <n v="798.01"/>
    <n v="881.29"/>
    <n v="252.3"/>
    <n v="680.24"/>
    <n v="399.95"/>
    <n v="6929"/>
    <x v="1"/>
    <n v="3091.5699999999997"/>
    <n v="0.4461783807187184"/>
    <x v="21"/>
    <x v="21"/>
    <x v="21"/>
    <x v="21"/>
  </r>
  <r>
    <n v="596.79999999999995"/>
    <n v="121.5"/>
    <n v="364.02"/>
    <n v="145.03"/>
    <n v="106.09"/>
    <n v="559.04999999999995"/>
    <n v="4830"/>
    <x v="3"/>
    <n v="1892.4899999999998"/>
    <n v="0.39181987577639749"/>
    <x v="22"/>
    <x v="22"/>
    <x v="22"/>
    <x v="22"/>
  </r>
  <r>
    <n v="297.32"/>
    <n v="168.27"/>
    <n v="38.43"/>
    <n v="968.13"/>
    <n v="238.44"/>
    <n v="636.41999999999996"/>
    <n v="6425"/>
    <x v="1"/>
    <n v="2347.0100000000002"/>
    <n v="0.36529338521400784"/>
    <x v="23"/>
    <x v="23"/>
    <x v="23"/>
    <x v="23"/>
  </r>
  <r>
    <n v="189.51"/>
    <n v="659.44"/>
    <n v="775.37"/>
    <n v="895.59"/>
    <n v="760.58"/>
    <n v="581.76"/>
    <n v="9001"/>
    <x v="2"/>
    <n v="3862.25"/>
    <n v="0.4290912120875458"/>
    <x v="24"/>
    <x v="24"/>
    <x v="24"/>
    <x v="24"/>
  </r>
  <r>
    <n v="732.71"/>
    <n v="585.45000000000005"/>
    <n v="540.89"/>
    <n v="695.95"/>
    <n v="227.02"/>
    <n v="633.09"/>
    <n v="8564"/>
    <x v="0"/>
    <n v="3415.11"/>
    <n v="0.39877510509107894"/>
    <x v="25"/>
    <x v="25"/>
    <x v="25"/>
    <x v="25"/>
  </r>
  <r>
    <n v="214.34"/>
    <n v="283.19"/>
    <n v="654.88"/>
    <n v="855.9"/>
    <n v="0.77"/>
    <n v="145.27000000000001"/>
    <n v="5008"/>
    <x v="1"/>
    <n v="2154.35"/>
    <n v="0.43018170926517568"/>
    <x v="26"/>
    <x v="26"/>
    <x v="26"/>
    <x v="26"/>
  </r>
  <r>
    <n v="98.83"/>
    <n v="575.33000000000004"/>
    <n v="19.940000000000001"/>
    <n v="800.94"/>
    <n v="673.3"/>
    <n v="385.92"/>
    <n v="6306"/>
    <x v="1"/>
    <n v="2554.2600000000002"/>
    <n v="0.40505233111322553"/>
    <x v="27"/>
    <x v="27"/>
    <x v="27"/>
    <x v="27"/>
  </r>
  <r>
    <n v="179.73"/>
    <n v="692.17"/>
    <n v="973.09"/>
    <n v="580.05999999999995"/>
    <n v="271.49"/>
    <n v="129.04"/>
    <n v="6198"/>
    <x v="1"/>
    <n v="2825.58"/>
    <n v="0.45588576960309773"/>
    <x v="28"/>
    <x v="28"/>
    <x v="28"/>
    <x v="28"/>
  </r>
  <r>
    <n v="830.84"/>
    <n v="240.22"/>
    <n v="303.98"/>
    <n v="793.12"/>
    <n v="739.97"/>
    <n v="430.35"/>
    <n v="7423"/>
    <x v="0"/>
    <n v="3338.48"/>
    <n v="0.44974808029098745"/>
    <x v="29"/>
    <x v="29"/>
    <x v="29"/>
    <x v="29"/>
  </r>
  <r>
    <n v="439.57"/>
    <n v="566.54"/>
    <n v="184.38"/>
    <n v="526.25"/>
    <n v="120.21"/>
    <n v="269.41000000000003"/>
    <n v="5399"/>
    <x v="1"/>
    <n v="2106.3599999999997"/>
    <n v="0.39013891461381733"/>
    <x v="30"/>
    <x v="30"/>
    <x v="30"/>
    <x v="30"/>
  </r>
  <r>
    <n v="911.58"/>
    <n v="319"/>
    <n v="290.08"/>
    <n v="316.48"/>
    <n v="452.77"/>
    <n v="274.45"/>
    <n v="5654"/>
    <x v="1"/>
    <n v="2564.3599999999997"/>
    <n v="0.4535479306685532"/>
    <x v="31"/>
    <x v="31"/>
    <x v="31"/>
    <x v="31"/>
  </r>
  <r>
    <n v="862.97"/>
    <n v="656.05"/>
    <n v="337.34"/>
    <n v="834.98"/>
    <n v="827.64"/>
    <n v="308.37"/>
    <n v="8512"/>
    <x v="0"/>
    <n v="3827.35"/>
    <n v="0.44964168233082707"/>
    <x v="32"/>
    <x v="32"/>
    <x v="32"/>
    <x v="32"/>
  </r>
  <r>
    <n v="707.06"/>
    <n v="642.66"/>
    <n v="274.79000000000002"/>
    <n v="213.33"/>
    <n v="984.21"/>
    <n v="481.27"/>
    <n v="7383"/>
    <x v="0"/>
    <n v="3303.3199999999997"/>
    <n v="0.44742245699580113"/>
    <x v="33"/>
    <x v="33"/>
    <x v="33"/>
    <x v="33"/>
  </r>
  <r>
    <n v="721.5"/>
    <n v="561.22"/>
    <n v="528.76"/>
    <n v="887.1"/>
    <n v="3.28"/>
    <n v="450.98"/>
    <n v="7949"/>
    <x v="0"/>
    <n v="3152.84"/>
    <n v="0.3966335388099132"/>
    <x v="34"/>
    <x v="34"/>
    <x v="34"/>
    <x v="34"/>
  </r>
  <r>
    <n v="909.22"/>
    <n v="28.38"/>
    <n v="600.33000000000004"/>
    <n v="758"/>
    <n v="872.4"/>
    <n v="306.31"/>
    <n v="6987"/>
    <x v="1"/>
    <n v="3474.6400000000003"/>
    <n v="0.49730070130241882"/>
    <x v="35"/>
    <x v="35"/>
    <x v="35"/>
    <x v="35"/>
  </r>
  <r>
    <n v="165.26"/>
    <n v="517.76"/>
    <n v="172.03"/>
    <n v="170.31"/>
    <n v="169.94"/>
    <n v="206.04"/>
    <n v="3600"/>
    <x v="3"/>
    <n v="1401.34"/>
    <n v="0.38926111111111111"/>
    <x v="36"/>
    <x v="36"/>
    <x v="36"/>
    <x v="36"/>
  </r>
  <r>
    <n v="552.49"/>
    <n v="6.01"/>
    <n v="69.069999999999993"/>
    <n v="304.14999999999998"/>
    <n v="52.77"/>
    <n v="667.78"/>
    <n v="4720"/>
    <x v="3"/>
    <n v="1652.27"/>
    <n v="0.35005720338983048"/>
    <x v="37"/>
    <x v="37"/>
    <x v="37"/>
    <x v="37"/>
  </r>
  <r>
    <n v="922.68"/>
    <n v="467.72"/>
    <n v="871.4"/>
    <n v="664.95"/>
    <n v="827.6"/>
    <n v="385.17"/>
    <n v="8744"/>
    <x v="0"/>
    <n v="4139.5199999999995"/>
    <n v="0.47341262580054888"/>
    <x v="38"/>
    <x v="38"/>
    <x v="38"/>
    <x v="38"/>
  </r>
  <r>
    <n v="584.53"/>
    <n v="299.73"/>
    <n v="831.96"/>
    <n v="573.63"/>
    <n v="898.26"/>
    <n v="452.69"/>
    <n v="7636"/>
    <x v="0"/>
    <n v="3640.7999999999997"/>
    <n v="0.4767941330539549"/>
    <x v="39"/>
    <x v="39"/>
    <x v="39"/>
    <x v="39"/>
  </r>
  <r>
    <n v="126.3"/>
    <n v="89.18"/>
    <n v="351.92"/>
    <n v="35.43"/>
    <n v="547.99"/>
    <n v="923.44"/>
    <n v="5487"/>
    <x v="1"/>
    <n v="2074.2600000000002"/>
    <n v="0.37803171131765995"/>
    <x v="40"/>
    <x v="40"/>
    <x v="40"/>
    <x v="40"/>
  </r>
  <r>
    <n v="766.86"/>
    <n v="164.18"/>
    <n v="72.95"/>
    <n v="471.67"/>
    <n v="959.81"/>
    <n v="720.36"/>
    <n v="7316"/>
    <x v="0"/>
    <n v="3155.8300000000004"/>
    <n v="0.43136003280481144"/>
    <x v="41"/>
    <x v="41"/>
    <x v="41"/>
    <x v="41"/>
  </r>
  <r>
    <n v="532.28"/>
    <n v="795.59"/>
    <n v="192.91"/>
    <n v="298.49"/>
    <n v="836"/>
    <n v="825.6"/>
    <n v="8792"/>
    <x v="0"/>
    <n v="3480.87"/>
    <n v="0.39591333030027298"/>
    <x v="42"/>
    <x v="42"/>
    <x v="42"/>
    <x v="42"/>
  </r>
  <r>
    <n v="573.64"/>
    <n v="196.64"/>
    <n v="802.07"/>
    <n v="109.31"/>
    <n v="351.06"/>
    <n v="902.89"/>
    <n v="7236"/>
    <x v="0"/>
    <n v="2935.6099999999997"/>
    <n v="0.40569513543394137"/>
    <x v="43"/>
    <x v="43"/>
    <x v="43"/>
    <x v="43"/>
  </r>
  <r>
    <n v="327.24"/>
    <n v="910.57"/>
    <n v="942.83"/>
    <n v="32.520000000000003"/>
    <n v="846.53"/>
    <n v="57.44"/>
    <n v="6136"/>
    <x v="1"/>
    <n v="3117.1299999999997"/>
    <n v="0.50800684485006509"/>
    <x v="44"/>
    <x v="44"/>
    <x v="44"/>
    <x v="44"/>
  </r>
  <r>
    <n v="748.8"/>
    <n v="526.25"/>
    <n v="144.97999999999999"/>
    <n v="624.03"/>
    <n v="117.05"/>
    <n v="987.58"/>
    <n v="8943"/>
    <x v="0"/>
    <n v="3148.69"/>
    <n v="0.35208431175220845"/>
    <x v="45"/>
    <x v="45"/>
    <x v="45"/>
    <x v="45"/>
  </r>
  <r>
    <n v="847.61"/>
    <n v="700.94"/>
    <n v="349.72"/>
    <n v="155.25"/>
    <n v="811.17"/>
    <n v="170.85"/>
    <n v="6356"/>
    <x v="1"/>
    <n v="3035.5400000000004"/>
    <n v="0.47758653241032101"/>
    <x v="46"/>
    <x v="46"/>
    <x v="46"/>
    <x v="46"/>
  </r>
  <r>
    <n v="357.67"/>
    <n v="945.38"/>
    <n v="924.43"/>
    <n v="586.16999999999996"/>
    <n v="868.45"/>
    <n v="85.29"/>
    <n v="7806"/>
    <x v="0"/>
    <n v="3767.3900000000003"/>
    <n v="0.48262746605175511"/>
    <x v="47"/>
    <x v="47"/>
    <x v="47"/>
    <x v="47"/>
  </r>
  <r>
    <n v="962.92"/>
    <n v="86.72"/>
    <n v="576.72"/>
    <n v="276.39"/>
    <n v="916.96"/>
    <n v="328.88"/>
    <n v="6153"/>
    <x v="1"/>
    <n v="3148.59"/>
    <n v="0.51171623598244764"/>
    <x v="48"/>
    <x v="48"/>
    <x v="48"/>
    <x v="48"/>
  </r>
  <r>
    <n v="327.43"/>
    <n v="325.08999999999997"/>
    <n v="852.14"/>
    <n v="786.06"/>
    <n v="11.18"/>
    <n v="483.1"/>
    <n v="6809"/>
    <x v="1"/>
    <n v="2784.9999999999995"/>
    <n v="0.40901747686884998"/>
    <x v="49"/>
    <x v="49"/>
    <x v="49"/>
    <x v="49"/>
  </r>
  <r>
    <n v="637.84"/>
    <n v="191.38"/>
    <n v="629.57000000000005"/>
    <n v="470.89"/>
    <n v="241.79"/>
    <n v="270.87"/>
    <n v="5356"/>
    <x v="1"/>
    <n v="2442.3399999999997"/>
    <n v="0.45600074682598951"/>
    <x v="50"/>
    <x v="50"/>
    <x v="50"/>
    <x v="50"/>
  </r>
  <r>
    <n v="800.5"/>
    <n v="358.92"/>
    <n v="982.04"/>
    <n v="192.2"/>
    <n v="246.33"/>
    <n v="64.39"/>
    <n v="5182"/>
    <x v="1"/>
    <n v="2644.3799999999997"/>
    <n v="0.51030104206869931"/>
    <x v="51"/>
    <x v="51"/>
    <x v="51"/>
    <x v="51"/>
  </r>
  <r>
    <n v="297.49"/>
    <n v="317.83999999999997"/>
    <n v="449.9"/>
    <n v="257.88"/>
    <n v="200.25"/>
    <n v="311.58999999999997"/>
    <n v="4373"/>
    <x v="3"/>
    <n v="1834.95"/>
    <n v="0.41960896409787335"/>
    <x v="52"/>
    <x v="52"/>
    <x v="52"/>
    <x v="52"/>
  </r>
  <r>
    <n v="458.15"/>
    <n v="539.02"/>
    <n v="394.62"/>
    <n v="829"/>
    <n v="522.14"/>
    <n v="240.13"/>
    <n v="6779"/>
    <x v="1"/>
    <n v="2983.06"/>
    <n v="0.44004425431479566"/>
    <x v="53"/>
    <x v="53"/>
    <x v="53"/>
    <x v="53"/>
  </r>
  <r>
    <n v="187.95"/>
    <n v="912.23"/>
    <n v="337.43"/>
    <n v="206.61"/>
    <n v="47.44"/>
    <n v="616.45000000000005"/>
    <n v="6667"/>
    <x v="1"/>
    <n v="2308.1100000000006"/>
    <n v="0.34619919004049804"/>
    <x v="54"/>
    <x v="54"/>
    <x v="54"/>
    <x v="54"/>
  </r>
  <r>
    <n v="908.42"/>
    <n v="417.74"/>
    <n v="358.1"/>
    <n v="230.22"/>
    <n v="654.41999999999996"/>
    <n v="542.41999999999996"/>
    <n v="7124"/>
    <x v="0"/>
    <n v="3111.3199999999997"/>
    <n v="0.43673778775968553"/>
    <x v="55"/>
    <x v="55"/>
    <x v="55"/>
    <x v="55"/>
  </r>
  <r>
    <n v="800.14"/>
    <n v="576.91999999999996"/>
    <n v="984.33"/>
    <n v="254.77"/>
    <n v="285.79000000000002"/>
    <n v="689.01"/>
    <n v="8554"/>
    <x v="0"/>
    <n v="3590.96"/>
    <n v="0.41979892447977557"/>
    <x v="56"/>
    <x v="56"/>
    <x v="56"/>
    <x v="56"/>
  </r>
  <r>
    <n v="217.39"/>
    <n v="533.83000000000004"/>
    <n v="526.94000000000005"/>
    <n v="393.81"/>
    <n v="486.13"/>
    <n v="390.64"/>
    <n v="5957"/>
    <x v="1"/>
    <n v="2548.7399999999998"/>
    <n v="0.42785630350847736"/>
    <x v="57"/>
    <x v="57"/>
    <x v="57"/>
    <x v="57"/>
  </r>
  <r>
    <n v="236.29"/>
    <n v="335.11"/>
    <n v="480.23"/>
    <n v="555.73"/>
    <n v="527.03"/>
    <n v="71.12"/>
    <n v="4499"/>
    <x v="3"/>
    <n v="2205.5100000000002"/>
    <n v="0.4902222716159147"/>
    <x v="58"/>
    <x v="58"/>
    <x v="58"/>
    <x v="58"/>
  </r>
  <r>
    <n v="966.65"/>
    <n v="20.64"/>
    <n v="439.86"/>
    <n v="496.81"/>
    <n v="282.27"/>
    <n v="595.38"/>
    <n v="6598"/>
    <x v="1"/>
    <n v="2801.61"/>
    <n v="0.42461503485904822"/>
    <x v="59"/>
    <x v="59"/>
    <x v="59"/>
    <x v="59"/>
  </r>
  <r>
    <n v="946.68"/>
    <n v="429.45"/>
    <n v="603.51"/>
    <n v="910.23"/>
    <n v="479.18"/>
    <n v="902.26"/>
    <n v="10543"/>
    <x v="2"/>
    <n v="4271.3099999999995"/>
    <n v="0.40513231528028071"/>
    <x v="60"/>
    <x v="60"/>
    <x v="60"/>
    <x v="60"/>
  </r>
  <r>
    <n v="480.33"/>
    <n v="386.61"/>
    <n v="926.8"/>
    <n v="901.98"/>
    <n v="559.91"/>
    <n v="949.15"/>
    <n v="10223"/>
    <x v="2"/>
    <n v="4204.78"/>
    <n v="0.4113058789005184"/>
    <x v="61"/>
    <x v="61"/>
    <x v="61"/>
    <x v="61"/>
  </r>
  <r>
    <n v="107.84"/>
    <n v="373.19"/>
    <n v="502.84"/>
    <n v="407.08"/>
    <n v="628.77"/>
    <n v="185.25"/>
    <n v="4593"/>
    <x v="3"/>
    <n v="2204.9699999999998"/>
    <n v="0.48007184846505546"/>
    <x v="62"/>
    <x v="62"/>
    <x v="62"/>
    <x v="62"/>
  </r>
  <r>
    <n v="929.58"/>
    <n v="532.21"/>
    <n v="736.11"/>
    <n v="557.15"/>
    <n v="775.83"/>
    <n v="206.43"/>
    <n v="7723"/>
    <x v="0"/>
    <n v="3737.31"/>
    <n v="0.4839194613492166"/>
    <x v="63"/>
    <x v="63"/>
    <x v="63"/>
    <x v="63"/>
  </r>
  <r>
    <n v="773.82"/>
    <n v="831.53"/>
    <n v="960.7"/>
    <n v="353.72"/>
    <n v="394.54"/>
    <n v="192.38"/>
    <n v="7611"/>
    <x v="0"/>
    <n v="3506.6900000000005"/>
    <n v="0.46073971882801218"/>
    <x v="64"/>
    <x v="64"/>
    <x v="64"/>
    <x v="64"/>
  </r>
  <r>
    <n v="367.73"/>
    <n v="824.44"/>
    <n v="566.91"/>
    <n v="767.46"/>
    <n v="781.79"/>
    <n v="327.23"/>
    <n v="8216"/>
    <x v="0"/>
    <n v="3635.56"/>
    <n v="0.44249756572541382"/>
    <x v="65"/>
    <x v="65"/>
    <x v="65"/>
    <x v="65"/>
  </r>
  <r>
    <n v="226.6"/>
    <n v="11"/>
    <n v="71.349999999999994"/>
    <n v="11.69"/>
    <n v="485.85"/>
    <n v="791.91"/>
    <n v="4384"/>
    <x v="3"/>
    <n v="1598.4"/>
    <n v="0.36459854014598542"/>
    <x v="66"/>
    <x v="66"/>
    <x v="66"/>
    <x v="66"/>
  </r>
  <r>
    <n v="576.73"/>
    <n v="756.33"/>
    <n v="87.96"/>
    <n v="369.57"/>
    <n v="223.6"/>
    <n v="914.72"/>
    <n v="8421"/>
    <x v="0"/>
    <n v="2928.91"/>
    <n v="0.34781023631397695"/>
    <x v="67"/>
    <x v="67"/>
    <x v="67"/>
    <x v="67"/>
  </r>
  <r>
    <n v="4.95"/>
    <n v="667.51"/>
    <n v="14.86"/>
    <n v="873.18"/>
    <n v="825.37"/>
    <n v="510.47"/>
    <n v="7236"/>
    <x v="0"/>
    <n v="2896.34"/>
    <n v="0.40026810392482037"/>
    <x v="68"/>
    <x v="68"/>
    <x v="68"/>
    <x v="68"/>
  </r>
  <r>
    <n v="976.88"/>
    <n v="832.08"/>
    <n v="79.47"/>
    <n v="619.22"/>
    <n v="368.12"/>
    <n v="260.66000000000003"/>
    <n v="7584"/>
    <x v="0"/>
    <n v="3136.43"/>
    <n v="0.41355880801687761"/>
    <x v="69"/>
    <x v="69"/>
    <x v="69"/>
    <x v="69"/>
  </r>
  <r>
    <n v="402.63"/>
    <n v="638.9"/>
    <n v="236.86"/>
    <n v="917.84"/>
    <n v="105.81"/>
    <n v="859.22"/>
    <n v="8925"/>
    <x v="0"/>
    <n v="3161.26"/>
    <n v="0.35420280112044822"/>
    <x v="70"/>
    <x v="70"/>
    <x v="70"/>
    <x v="70"/>
  </r>
  <r>
    <n v="254.3"/>
    <n v="526.4"/>
    <n v="448.11"/>
    <n v="694.84"/>
    <n v="176.67"/>
    <n v="928.28"/>
    <n v="8428"/>
    <x v="0"/>
    <n v="3028.6000000000004"/>
    <n v="0.35934978642619841"/>
    <x v="71"/>
    <x v="71"/>
    <x v="71"/>
    <x v="71"/>
  </r>
  <r>
    <n v="211.37"/>
    <n v="925.49"/>
    <n v="614.64"/>
    <n v="918.84"/>
    <n v="695.52"/>
    <n v="599.91"/>
    <n v="9658"/>
    <x v="2"/>
    <n v="3965.77"/>
    <n v="0.41062021122385589"/>
    <x v="72"/>
    <x v="72"/>
    <x v="72"/>
    <x v="72"/>
  </r>
  <r>
    <n v="579.98"/>
    <n v="330.09"/>
    <n v="787.75"/>
    <n v="438.44"/>
    <n v="193.77"/>
    <n v="257"/>
    <n v="5688"/>
    <x v="1"/>
    <n v="2587.0299999999997"/>
    <n v="0.45482243319268634"/>
    <x v="73"/>
    <x v="73"/>
    <x v="73"/>
    <x v="73"/>
  </r>
  <r>
    <n v="306.18"/>
    <n v="137.08000000000001"/>
    <n v="549.85"/>
    <n v="725.44"/>
    <n v="890.43"/>
    <n v="381.03"/>
    <n v="6245"/>
    <x v="1"/>
    <n v="2990.01"/>
    <n v="0.47878462770216179"/>
    <x v="74"/>
    <x v="74"/>
    <x v="74"/>
    <x v="74"/>
  </r>
  <r>
    <n v="592.24"/>
    <n v="73.400000000000006"/>
    <n v="847.47"/>
    <n v="595.24"/>
    <n v="721.16"/>
    <n v="931.95"/>
    <n v="8744"/>
    <x v="0"/>
    <n v="3761.46"/>
    <n v="0.43017612076852701"/>
    <x v="75"/>
    <x v="75"/>
    <x v="75"/>
    <x v="75"/>
  </r>
  <r>
    <n v="503.08"/>
    <n v="875.25"/>
    <n v="57.35"/>
    <n v="837.4"/>
    <n v="49.45"/>
    <n v="493.39"/>
    <n v="7838"/>
    <x v="0"/>
    <n v="2815.9199999999996"/>
    <n v="0.35926511865271749"/>
    <x v="76"/>
    <x v="76"/>
    <x v="76"/>
    <x v="76"/>
  </r>
  <r>
    <n v="628.35"/>
    <n v="943.41"/>
    <n v="461.31"/>
    <n v="162.85"/>
    <n v="344.75"/>
    <n v="318.33"/>
    <n v="6860"/>
    <x v="1"/>
    <n v="2859"/>
    <n v="0.41676384839650144"/>
    <x v="77"/>
    <x v="77"/>
    <x v="77"/>
    <x v="77"/>
  </r>
  <r>
    <n v="344.11"/>
    <n v="179.19"/>
    <n v="30.19"/>
    <n v="535.22"/>
    <n v="118.13"/>
    <n v="353.31"/>
    <n v="4151"/>
    <x v="3"/>
    <n v="1560.15"/>
    <n v="0.37584919296555047"/>
    <x v="78"/>
    <x v="78"/>
    <x v="78"/>
    <x v="78"/>
  </r>
  <r>
    <n v="814.57"/>
    <n v="795.23"/>
    <n v="539.03"/>
    <n v="630.16"/>
    <n v="150.16999999999999"/>
    <n v="378.63"/>
    <n v="8099"/>
    <x v="0"/>
    <n v="3307.79"/>
    <n v="0.40841955797011975"/>
    <x v="79"/>
    <x v="79"/>
    <x v="79"/>
    <x v="79"/>
  </r>
  <r>
    <n v="275.45999999999998"/>
    <n v="334.21"/>
    <n v="974.15"/>
    <n v="657.96"/>
    <n v="338.91"/>
    <n v="501.63"/>
    <n v="7087"/>
    <x v="0"/>
    <n v="3082.3199999999997"/>
    <n v="0.43492592069987296"/>
    <x v="80"/>
    <x v="80"/>
    <x v="80"/>
    <x v="80"/>
  </r>
  <r>
    <n v="516.34"/>
    <n v="682.94"/>
    <n v="670.66"/>
    <n v="593.97"/>
    <n v="665.91"/>
    <n v="237.67"/>
    <n v="7321"/>
    <x v="0"/>
    <n v="3367.49"/>
    <n v="0.4599767791285343"/>
    <x v="81"/>
    <x v="81"/>
    <x v="81"/>
    <x v="81"/>
  </r>
  <r>
    <n v="438.1"/>
    <n v="556.71"/>
    <n v="823.93"/>
    <n v="362.43"/>
    <n v="576.67999999999995"/>
    <n v="19.489999999999998"/>
    <n v="5453"/>
    <x v="1"/>
    <n v="2777.3399999999997"/>
    <n v="0.50932330827067662"/>
    <x v="82"/>
    <x v="82"/>
    <x v="82"/>
    <x v="82"/>
  </r>
  <r>
    <n v="309.23"/>
    <n v="254.62"/>
    <n v="616.46"/>
    <n v="888.42"/>
    <n v="216.48"/>
    <n v="901.14"/>
    <n v="8380"/>
    <x v="0"/>
    <n v="3186.35"/>
    <n v="0.38023269689737471"/>
    <x v="83"/>
    <x v="83"/>
    <x v="83"/>
    <x v="83"/>
  </r>
  <r>
    <n v="280.45999999999998"/>
    <n v="676.19"/>
    <n v="729.46"/>
    <n v="539.74"/>
    <n v="548.07000000000005"/>
    <n v="324.89999999999998"/>
    <n v="6984"/>
    <x v="1"/>
    <n v="3098.8200000000006"/>
    <n v="0.44370274914089358"/>
    <x v="84"/>
    <x v="84"/>
    <x v="84"/>
    <x v="84"/>
  </r>
  <r>
    <n v="627.1"/>
    <n v="520.53"/>
    <n v="461.58"/>
    <n v="646.87"/>
    <n v="999.79"/>
    <n v="681.44"/>
    <n v="9037"/>
    <x v="2"/>
    <n v="3937.31"/>
    <n v="0.43568772822839436"/>
    <x v="85"/>
    <x v="85"/>
    <x v="85"/>
    <x v="85"/>
  </r>
  <r>
    <n v="472.66"/>
    <n v="288.52999999999997"/>
    <n v="836.27"/>
    <n v="679.08"/>
    <n v="490.43"/>
    <n v="294"/>
    <n v="6525"/>
    <x v="1"/>
    <n v="3060.97"/>
    <n v="0.46911417624521068"/>
    <x v="86"/>
    <x v="86"/>
    <x v="86"/>
    <x v="86"/>
  </r>
  <r>
    <n v="484.3"/>
    <n v="857.63"/>
    <n v="969.6"/>
    <n v="50.03"/>
    <n v="807.26"/>
    <n v="22.11"/>
    <n v="6184"/>
    <x v="1"/>
    <n v="3190.9300000000007"/>
    <n v="0.5159977360931437"/>
    <x v="87"/>
    <x v="87"/>
    <x v="87"/>
    <x v="87"/>
  </r>
  <r>
    <n v="253.65"/>
    <n v="51.38"/>
    <n v="417.09"/>
    <n v="689.61"/>
    <n v="885.97"/>
    <n v="74.930000000000007"/>
    <n v="4368"/>
    <x v="3"/>
    <n v="2372.6299999999997"/>
    <n v="0.54318452380952376"/>
    <x v="88"/>
    <x v="88"/>
    <x v="88"/>
    <x v="88"/>
  </r>
  <r>
    <n v="564.09"/>
    <n v="321.14999999999998"/>
    <n v="590.16"/>
    <n v="161.65"/>
    <n v="109.3"/>
    <n v="776.77"/>
    <n v="6603"/>
    <x v="1"/>
    <n v="2523.12"/>
    <n v="0.38211721944570648"/>
    <x v="89"/>
    <x v="89"/>
    <x v="89"/>
    <x v="89"/>
  </r>
  <r>
    <n v="154.83000000000001"/>
    <n v="302.06"/>
    <n v="911.95"/>
    <n v="100.35"/>
    <n v="143.65"/>
    <n v="623.62"/>
    <n v="5519"/>
    <x v="1"/>
    <n v="2236.46"/>
    <n v="0.4052292081898895"/>
    <x v="90"/>
    <x v="90"/>
    <x v="90"/>
    <x v="90"/>
  </r>
  <r>
    <n v="909.36"/>
    <n v="487.33"/>
    <n v="344.62"/>
    <n v="285.48"/>
    <n v="91.26"/>
    <n v="926.73"/>
    <n v="8320"/>
    <x v="0"/>
    <n v="3044.78"/>
    <n v="0.36595913461538465"/>
    <x v="91"/>
    <x v="91"/>
    <x v="91"/>
    <x v="91"/>
  </r>
  <r>
    <n v="867.51"/>
    <n v="932.27"/>
    <n v="148.9"/>
    <n v="373.02"/>
    <n v="570.23"/>
    <n v="531.79"/>
    <n v="8504"/>
    <x v="0"/>
    <n v="3423.72"/>
    <n v="0.40260112888052679"/>
    <x v="92"/>
    <x v="92"/>
    <x v="92"/>
    <x v="92"/>
  </r>
  <r>
    <n v="992.99"/>
    <n v="831.97"/>
    <n v="982.63"/>
    <n v="361.36"/>
    <n v="331.65"/>
    <n v="574.97"/>
    <n v="9553"/>
    <x v="2"/>
    <n v="4075.5700000000006"/>
    <n v="0.42662723751701043"/>
    <x v="93"/>
    <x v="93"/>
    <x v="93"/>
    <x v="93"/>
  </r>
  <r>
    <n v="331.82"/>
    <n v="175.46"/>
    <n v="763.6"/>
    <n v="352.17"/>
    <n v="256.97000000000003"/>
    <n v="372.7"/>
    <n v="5019"/>
    <x v="1"/>
    <n v="2252.7200000000003"/>
    <n v="0.44883841402669861"/>
    <x v="94"/>
    <x v="94"/>
    <x v="94"/>
    <x v="94"/>
  </r>
  <r>
    <n v="479.95"/>
    <n v="842.11"/>
    <n v="196.97"/>
    <n v="595.41"/>
    <n v="883.59"/>
    <n v="337.1"/>
    <n v="7677"/>
    <x v="0"/>
    <n v="3335.13"/>
    <n v="0.43443141852286049"/>
    <x v="95"/>
    <x v="95"/>
    <x v="95"/>
    <x v="95"/>
  </r>
  <r>
    <n v="788.17"/>
    <n v="825.42"/>
    <n v="912.89"/>
    <n v="235.03"/>
    <n v="938.7"/>
    <n v="907.57"/>
    <n v="10763"/>
    <x v="2"/>
    <n v="4607.78"/>
    <n v="0.42811297965251321"/>
    <x v="96"/>
    <x v="96"/>
    <x v="96"/>
    <x v="96"/>
  </r>
  <r>
    <n v="540.69000000000005"/>
    <n v="326.95"/>
    <n v="362.71"/>
    <n v="597.94000000000005"/>
    <n v="255.6"/>
    <n v="635.29999999999995"/>
    <n v="6959"/>
    <x v="1"/>
    <n v="2719.1900000000005"/>
    <n v="0.39074435982181355"/>
    <x v="97"/>
    <x v="97"/>
    <x v="97"/>
    <x v="97"/>
  </r>
  <r>
    <n v="679.14"/>
    <n v="447.24"/>
    <n v="395.3"/>
    <n v="421.19"/>
    <n v="565.17999999999995"/>
    <n v="169.63"/>
    <n v="5692"/>
    <x v="1"/>
    <n v="2677.6800000000003"/>
    <n v="0.47042867182009845"/>
    <x v="98"/>
    <x v="98"/>
    <x v="98"/>
    <x v="98"/>
  </r>
  <r>
    <n v="283.57"/>
    <n v="358.42"/>
    <n v="213.66"/>
    <n v="29.11"/>
    <n v="622.67999999999995"/>
    <n v="90.42"/>
    <n v="3141"/>
    <x v="3"/>
    <n v="1597.8600000000001"/>
    <n v="0.5087106017191978"/>
    <x v="99"/>
    <x v="99"/>
    <x v="99"/>
    <x v="99"/>
  </r>
  <r>
    <n v="751.82"/>
    <n v="145.44"/>
    <n v="471.13"/>
    <n v="744.64"/>
    <n v="534.30999999999995"/>
    <n v="809.25"/>
    <n v="8387"/>
    <x v="0"/>
    <n v="3456.5899999999997"/>
    <n v="0.41213664003815426"/>
    <x v="100"/>
    <x v="100"/>
    <x v="100"/>
    <x v="100"/>
  </r>
  <r>
    <n v="835.52"/>
    <n v="315.69"/>
    <n v="142.37"/>
    <n v="764.15"/>
    <n v="563.82000000000005"/>
    <n v="833.02"/>
    <n v="8760"/>
    <x v="0"/>
    <n v="3454.57"/>
    <n v="0.3943573059360731"/>
    <x v="101"/>
    <x v="101"/>
    <x v="101"/>
    <x v="101"/>
  </r>
  <r>
    <n v="5.77"/>
    <n v="169.34"/>
    <n v="725.49"/>
    <n v="477.59"/>
    <n v="363.65"/>
    <n v="429.3"/>
    <n v="4945"/>
    <x v="3"/>
    <n v="2171.1400000000003"/>
    <n v="0.43905763397371089"/>
    <x v="102"/>
    <x v="102"/>
    <x v="102"/>
    <x v="102"/>
  </r>
  <r>
    <n v="322"/>
    <n v="605.12"/>
    <n v="47.46"/>
    <n v="531.5"/>
    <n v="839.57"/>
    <n v="694.12"/>
    <n v="7639"/>
    <x v="0"/>
    <n v="3039.77"/>
    <n v="0.39792773923288388"/>
    <x v="103"/>
    <x v="103"/>
    <x v="103"/>
    <x v="103"/>
  </r>
  <r>
    <n v="927.85"/>
    <n v="609.14"/>
    <n v="185.13"/>
    <n v="117.63"/>
    <n v="326.14999999999998"/>
    <n v="685.77"/>
    <n v="7395"/>
    <x v="0"/>
    <n v="2851.67"/>
    <n v="0.3856213657876944"/>
    <x v="104"/>
    <x v="104"/>
    <x v="104"/>
    <x v="104"/>
  </r>
  <r>
    <n v="142.99"/>
    <n v="644.11"/>
    <n v="93.04"/>
    <n v="221.03"/>
    <n v="547.35"/>
    <n v="968.01"/>
    <n v="7430"/>
    <x v="0"/>
    <n v="2616.5299999999997"/>
    <n v="0.352157469717362"/>
    <x v="105"/>
    <x v="105"/>
    <x v="105"/>
    <x v="105"/>
  </r>
  <r>
    <n v="196.22"/>
    <n v="945.14"/>
    <n v="807.19"/>
    <n v="314.81"/>
    <n v="691.84"/>
    <n v="293.48"/>
    <n v="7219"/>
    <x v="0"/>
    <n v="3248.6800000000003"/>
    <n v="0.45001800803435382"/>
    <x v="106"/>
    <x v="106"/>
    <x v="106"/>
    <x v="106"/>
  </r>
  <r>
    <n v="204.8"/>
    <n v="416.06"/>
    <n v="743.94"/>
    <n v="884.94"/>
    <n v="11.75"/>
    <n v="750.43"/>
    <n v="8000"/>
    <x v="0"/>
    <n v="3011.92"/>
    <n v="0.37648999999999999"/>
    <x v="107"/>
    <x v="107"/>
    <x v="107"/>
    <x v="107"/>
  </r>
  <r>
    <n v="899.43"/>
    <n v="712.96"/>
    <n v="760.18"/>
    <n v="762.53"/>
    <n v="75.72"/>
    <n v="378.28"/>
    <n v="8576"/>
    <x v="0"/>
    <n v="3589.0999999999995"/>
    <n v="0.41850513059701488"/>
    <x v="108"/>
    <x v="108"/>
    <x v="108"/>
    <x v="108"/>
  </r>
  <r>
    <n v="204.63"/>
    <n v="624.34"/>
    <n v="566.30999999999995"/>
    <n v="379.17"/>
    <n v="952.84"/>
    <n v="786.09"/>
    <n v="8368"/>
    <x v="0"/>
    <n v="3513.38"/>
    <n v="0.41985898661567878"/>
    <x v="109"/>
    <x v="109"/>
    <x v="109"/>
    <x v="109"/>
  </r>
  <r>
    <n v="100.6"/>
    <n v="606.54999999999995"/>
    <n v="88.07"/>
    <n v="681.03"/>
    <n v="251.5"/>
    <n v="68.650000000000006"/>
    <n v="4427"/>
    <x v="3"/>
    <n v="1796.4"/>
    <n v="0.40578269708606279"/>
    <x v="110"/>
    <x v="110"/>
    <x v="110"/>
    <x v="110"/>
  </r>
  <r>
    <n v="837.69"/>
    <n v="633.04"/>
    <n v="348.36"/>
    <n v="48.06"/>
    <n v="649.55999999999995"/>
    <n v="834.14"/>
    <n v="8332"/>
    <x v="0"/>
    <n v="3350.85"/>
    <n v="0.40216634661545847"/>
    <x v="111"/>
    <x v="111"/>
    <x v="111"/>
    <x v="111"/>
  </r>
  <r>
    <n v="319.67"/>
    <n v="510.24"/>
    <n v="421.67"/>
    <n v="851.19"/>
    <n v="21.56"/>
    <n v="377.89"/>
    <n v="6473"/>
    <x v="1"/>
    <n v="2502.2200000000003"/>
    <n v="0.38656264483238068"/>
    <x v="112"/>
    <x v="112"/>
    <x v="112"/>
    <x v="112"/>
  </r>
  <r>
    <n v="481.36"/>
    <n v="142.47999999999999"/>
    <n v="493.66"/>
    <n v="588.1"/>
    <n v="784.36"/>
    <n v="814.73"/>
    <n v="7803"/>
    <x v="0"/>
    <n v="3304.69"/>
    <n v="0.42351531462258107"/>
    <x v="113"/>
    <x v="113"/>
    <x v="113"/>
    <x v="113"/>
  </r>
  <r>
    <n v="632.14"/>
    <n v="332.75"/>
    <n v="875.67"/>
    <n v="63.47"/>
    <n v="979.73"/>
    <n v="85.44"/>
    <n v="5255"/>
    <x v="1"/>
    <n v="2969.2000000000003"/>
    <n v="0.56502378686964805"/>
    <x v="114"/>
    <x v="114"/>
    <x v="114"/>
    <x v="114"/>
  </r>
  <r>
    <n v="791.08"/>
    <n v="238.26"/>
    <n v="369.8"/>
    <n v="199.95"/>
    <n v="378.52"/>
    <n v="285.02"/>
    <n v="4941"/>
    <x v="3"/>
    <n v="2262.63"/>
    <n v="0.45792956891317549"/>
    <x v="115"/>
    <x v="115"/>
    <x v="115"/>
    <x v="115"/>
  </r>
  <r>
    <n v="747.35"/>
    <n v="261.12"/>
    <n v="37.92"/>
    <n v="934.6"/>
    <n v="770.3"/>
    <n v="710.22"/>
    <n v="8425"/>
    <x v="0"/>
    <n v="3461.51"/>
    <n v="0.41086172106824931"/>
    <x v="116"/>
    <x v="116"/>
    <x v="116"/>
    <x v="116"/>
  </r>
  <r>
    <n v="675.29"/>
    <n v="182"/>
    <n v="805.35"/>
    <n v="547.91999999999996"/>
    <n v="414.81"/>
    <n v="769.94"/>
    <n v="8039"/>
    <x v="0"/>
    <n v="3395.31"/>
    <n v="0.42235477049384251"/>
    <x v="117"/>
    <x v="117"/>
    <x v="117"/>
    <x v="117"/>
  </r>
  <r>
    <n v="288.31"/>
    <n v="233.38"/>
    <n v="936.94"/>
    <n v="349.42"/>
    <n v="598.62"/>
    <n v="54.17"/>
    <n v="4481"/>
    <x v="3"/>
    <n v="2460.84"/>
    <n v="0.54917205980807859"/>
    <x v="118"/>
    <x v="118"/>
    <x v="118"/>
    <x v="118"/>
  </r>
  <r>
    <n v="411.39"/>
    <n v="336.15"/>
    <n v="206.56"/>
    <n v="411.67"/>
    <n v="502.62"/>
    <n v="763.13"/>
    <n v="6831"/>
    <x v="1"/>
    <n v="2631.52"/>
    <n v="0.38523203044942173"/>
    <x v="119"/>
    <x v="119"/>
    <x v="119"/>
    <x v="119"/>
  </r>
  <r>
    <n v="983.4"/>
    <n v="583.08000000000004"/>
    <n v="544.15"/>
    <n v="443.14"/>
    <n v="791"/>
    <n v="864.11"/>
    <n v="10049"/>
    <x v="2"/>
    <n v="4208.88"/>
    <n v="0.41883570504527817"/>
    <x v="120"/>
    <x v="120"/>
    <x v="120"/>
    <x v="120"/>
  </r>
  <r>
    <n v="536.33000000000004"/>
    <n v="759.45"/>
    <n v="451.21"/>
    <n v="653.83000000000004"/>
    <n v="614.91999999999996"/>
    <n v="160.29"/>
    <n v="7044"/>
    <x v="0"/>
    <n v="3176.03"/>
    <n v="0.45088444065871669"/>
    <x v="121"/>
    <x v="121"/>
    <x v="121"/>
    <x v="121"/>
  </r>
  <r>
    <n v="250.42"/>
    <n v="727.86"/>
    <n v="310.57"/>
    <n v="360.1"/>
    <n v="267.08999999999997"/>
    <n v="389.7"/>
    <n v="5931"/>
    <x v="1"/>
    <n v="2305.7399999999998"/>
    <n v="0.3887607486090035"/>
    <x v="122"/>
    <x v="122"/>
    <x v="122"/>
    <x v="122"/>
  </r>
  <r>
    <n v="775.64"/>
    <n v="605.6"/>
    <n v="605.67999999999995"/>
    <n v="189.84"/>
    <n v="732.13"/>
    <n v="923.42"/>
    <n v="9318"/>
    <x v="2"/>
    <n v="3832.3100000000004"/>
    <n v="0.41128031766473494"/>
    <x v="123"/>
    <x v="123"/>
    <x v="123"/>
    <x v="123"/>
  </r>
  <r>
    <n v="297.55"/>
    <n v="132.32"/>
    <n v="771.99"/>
    <n v="810.67"/>
    <n v="480.55"/>
    <n v="280.3"/>
    <n v="5881"/>
    <x v="1"/>
    <n v="2773.3800000000006"/>
    <n v="0.47158306410474421"/>
    <x v="124"/>
    <x v="124"/>
    <x v="124"/>
    <x v="124"/>
  </r>
  <r>
    <n v="394.3"/>
    <n v="741.23"/>
    <n v="353.72"/>
    <n v="320.02999999999997"/>
    <n v="956.05"/>
    <n v="436.94"/>
    <n v="7231"/>
    <x v="0"/>
    <n v="3202.27"/>
    <n v="0.4428529940533813"/>
    <x v="125"/>
    <x v="125"/>
    <x v="125"/>
    <x v="125"/>
  </r>
  <r>
    <n v="375.35"/>
    <n v="860.54"/>
    <n v="694.24"/>
    <n v="408.09"/>
    <n v="61.92"/>
    <n v="325.88"/>
    <n v="6763"/>
    <x v="1"/>
    <n v="2726.02"/>
    <n v="0.40307851545172263"/>
    <x v="126"/>
    <x v="126"/>
    <x v="126"/>
    <x v="126"/>
  </r>
  <r>
    <n v="341.92"/>
    <n v="886.64"/>
    <n v="355.31"/>
    <n v="663.6"/>
    <n v="278.87"/>
    <n v="718.15"/>
    <n v="8737"/>
    <x v="0"/>
    <n v="3244.49"/>
    <n v="0.37135057800160237"/>
    <x v="127"/>
    <x v="127"/>
    <x v="127"/>
    <x v="127"/>
  </r>
  <r>
    <n v="318.73"/>
    <n v="858.87"/>
    <n v="896.81"/>
    <n v="485.14"/>
    <n v="929.73"/>
    <n v="459.97"/>
    <n v="8724"/>
    <x v="0"/>
    <n v="3949.25"/>
    <n v="0.45268798716185238"/>
    <x v="128"/>
    <x v="128"/>
    <x v="128"/>
    <x v="128"/>
  </r>
  <r>
    <n v="972.28"/>
    <n v="816.97"/>
    <n v="430.3"/>
    <n v="401.46"/>
    <n v="555.19000000000005"/>
    <n v="351.3"/>
    <n v="8130"/>
    <x v="0"/>
    <n v="3527.5000000000005"/>
    <n v="0.43388683886838875"/>
    <x v="129"/>
    <x v="129"/>
    <x v="129"/>
    <x v="129"/>
  </r>
  <r>
    <n v="350.3"/>
    <n v="185.3"/>
    <n v="353.98"/>
    <n v="574.66"/>
    <n v="1.1000000000000001"/>
    <n v="860.7"/>
    <n v="6678"/>
    <x v="1"/>
    <n v="2326.04"/>
    <n v="0.34831386642707396"/>
    <x v="130"/>
    <x v="130"/>
    <x v="130"/>
    <x v="130"/>
  </r>
  <r>
    <n v="520.95000000000005"/>
    <n v="278.31"/>
    <n v="634.73"/>
    <n v="510.64"/>
    <n v="449.85"/>
    <n v="413.95"/>
    <n v="6281"/>
    <x v="1"/>
    <n v="2808.43"/>
    <n v="0.44713103009074984"/>
    <x v="131"/>
    <x v="131"/>
    <x v="131"/>
    <x v="131"/>
  </r>
  <r>
    <n v="642.75"/>
    <n v="878.1"/>
    <n v="999.23"/>
    <n v="662.46"/>
    <n v="117.02"/>
    <n v="454.2"/>
    <n v="9006"/>
    <x v="2"/>
    <n v="3753.7599999999998"/>
    <n v="0.41680657339551408"/>
    <x v="132"/>
    <x v="132"/>
    <x v="132"/>
    <x v="132"/>
  </r>
  <r>
    <n v="383.91"/>
    <n v="864.55"/>
    <n v="673.49"/>
    <n v="809.05"/>
    <n v="927.93"/>
    <n v="318.49"/>
    <n v="8776"/>
    <x v="0"/>
    <n v="3977.42"/>
    <n v="0.45321558796718325"/>
    <x v="133"/>
    <x v="133"/>
    <x v="133"/>
    <x v="133"/>
  </r>
  <r>
    <n v="427.73"/>
    <n v="791.7"/>
    <n v="179.24"/>
    <n v="487.63"/>
    <n v="901.61"/>
    <n v="211.18"/>
    <n v="6657"/>
    <x v="1"/>
    <n v="2999.09"/>
    <n v="0.4505167492864654"/>
    <x v="134"/>
    <x v="134"/>
    <x v="134"/>
    <x v="134"/>
  </r>
  <r>
    <n v="377.42"/>
    <n v="813.58"/>
    <n v="167.37"/>
    <n v="588.21"/>
    <n v="966.39"/>
    <n v="532.65"/>
    <n v="8198"/>
    <x v="0"/>
    <n v="3445.62"/>
    <n v="0.42030007318858259"/>
    <x v="135"/>
    <x v="135"/>
    <x v="135"/>
    <x v="135"/>
  </r>
  <r>
    <n v="767.6"/>
    <n v="819.62"/>
    <n v="663.57"/>
    <n v="144.69"/>
    <n v="342.12"/>
    <n v="262.48"/>
    <n v="6802"/>
    <x v="1"/>
    <n v="3000.08"/>
    <n v="0.44105851220229342"/>
    <x v="136"/>
    <x v="136"/>
    <x v="136"/>
    <x v="136"/>
  </r>
  <r>
    <n v="670.26"/>
    <n v="56.23"/>
    <n v="487.73"/>
    <n v="679.19"/>
    <n v="179.2"/>
    <n v="789.95"/>
    <n v="7331"/>
    <x v="0"/>
    <n v="2862.5600000000004"/>
    <n v="0.39047333242395316"/>
    <x v="137"/>
    <x v="137"/>
    <x v="137"/>
    <x v="137"/>
  </r>
  <r>
    <n v="447.56"/>
    <n v="727.43"/>
    <n v="144.06"/>
    <n v="317.25"/>
    <n v="251.04"/>
    <n v="981.17"/>
    <n v="8313"/>
    <x v="0"/>
    <n v="2868.5099999999998"/>
    <n v="0.3450631540959942"/>
    <x v="138"/>
    <x v="138"/>
    <x v="138"/>
    <x v="138"/>
  </r>
  <r>
    <n v="14.03"/>
    <n v="659.34"/>
    <n v="112.32"/>
    <n v="425.96"/>
    <n v="998.3"/>
    <n v="936.46"/>
    <n v="8178"/>
    <x v="0"/>
    <n v="3146.41"/>
    <n v="0.38474076791391537"/>
    <x v="139"/>
    <x v="139"/>
    <x v="139"/>
    <x v="139"/>
  </r>
  <r>
    <n v="632.92999999999995"/>
    <n v="653.66"/>
    <n v="251.56"/>
    <n v="734"/>
    <n v="879.12"/>
    <n v="138.78"/>
    <n v="7048"/>
    <x v="0"/>
    <n v="3290.0499999999997"/>
    <n v="0.46680618615209984"/>
    <x v="140"/>
    <x v="140"/>
    <x v="140"/>
    <x v="140"/>
  </r>
  <r>
    <n v="961.72"/>
    <n v="801.42"/>
    <n v="247.44"/>
    <n v="562.54"/>
    <n v="772.64"/>
    <n v="762.27"/>
    <n v="10094"/>
    <x v="2"/>
    <n v="4108.03"/>
    <n v="0.40697741232415291"/>
    <x v="141"/>
    <x v="141"/>
    <x v="141"/>
    <x v="141"/>
  </r>
  <r>
    <n v="677.28"/>
    <n v="651.75"/>
    <n v="68.23"/>
    <n v="569.20000000000005"/>
    <n v="100.51"/>
    <n v="515.51"/>
    <n v="7003"/>
    <x v="0"/>
    <n v="2582.4800000000005"/>
    <n v="0.36876767099814373"/>
    <x v="142"/>
    <x v="142"/>
    <x v="142"/>
    <x v="142"/>
  </r>
  <r>
    <n v="8.84"/>
    <n v="416.59"/>
    <n v="716"/>
    <n v="949.21"/>
    <n v="624.59"/>
    <n v="623.30999999999995"/>
    <n v="7966"/>
    <x v="0"/>
    <n v="3338.54"/>
    <n v="0.41909866934471501"/>
    <x v="143"/>
    <x v="143"/>
    <x v="143"/>
    <x v="143"/>
  </r>
  <r>
    <n v="269.45999999999998"/>
    <n v="304.74"/>
    <n v="221.85"/>
    <n v="57.73"/>
    <n v="669.73"/>
    <n v="641.67999999999995"/>
    <n v="5292"/>
    <x v="1"/>
    <n v="2165.19"/>
    <n v="0.40914399092970521"/>
    <x v="144"/>
    <x v="144"/>
    <x v="144"/>
    <x v="144"/>
  </r>
  <r>
    <n v="1.04"/>
    <n v="19.68"/>
    <n v="900.71"/>
    <n v="55.67"/>
    <n v="379.03"/>
    <n v="63.1"/>
    <n v="2259"/>
    <x v="3"/>
    <n v="1419.23"/>
    <n v="0.62825586542718015"/>
    <x v="145"/>
    <x v="145"/>
    <x v="145"/>
    <x v="145"/>
  </r>
  <r>
    <n v="236.32"/>
    <n v="172.26"/>
    <n v="936.65"/>
    <n v="48.26"/>
    <n v="293.02999999999997"/>
    <n v="582.58000000000004"/>
    <n v="5191"/>
    <x v="1"/>
    <n v="2269.1"/>
    <n v="0.4371219418223849"/>
    <x v="146"/>
    <x v="146"/>
    <x v="146"/>
    <x v="146"/>
  </r>
  <r>
    <n v="639.02"/>
    <n v="873.2"/>
    <n v="972.38"/>
    <n v="961.58"/>
    <n v="761.14"/>
    <n v="307.13"/>
    <n v="9889"/>
    <x v="2"/>
    <n v="4514.45"/>
    <n v="0.4565122863788047"/>
    <x v="147"/>
    <x v="147"/>
    <x v="147"/>
    <x v="147"/>
  </r>
  <r>
    <n v="846.02"/>
    <n v="919.07"/>
    <n v="403.48"/>
    <n v="429.08"/>
    <n v="24.8"/>
    <n v="632.37"/>
    <n v="8687"/>
    <x v="0"/>
    <n v="3254.82"/>
    <n v="0.37467710371819962"/>
    <x v="148"/>
    <x v="148"/>
    <x v="148"/>
    <x v="148"/>
  </r>
  <r>
    <n v="330.77"/>
    <n v="248.54"/>
    <n v="161.30000000000001"/>
    <n v="779.52"/>
    <n v="310.61"/>
    <n v="661.73"/>
    <n v="6613"/>
    <x v="1"/>
    <n v="2492.4699999999998"/>
    <n v="0.37690458188416753"/>
    <x v="149"/>
    <x v="149"/>
    <x v="149"/>
    <x v="149"/>
  </r>
  <r>
    <n v="533.6"/>
    <n v="633.38"/>
    <n v="605.78"/>
    <n v="906.55"/>
    <n v="332.73"/>
    <n v="312.64"/>
    <n v="7784"/>
    <x v="0"/>
    <n v="3324.68"/>
    <n v="0.42711716341212741"/>
    <x v="150"/>
    <x v="150"/>
    <x v="150"/>
    <x v="150"/>
  </r>
  <r>
    <n v="16.190000000000001"/>
    <n v="678.98"/>
    <n v="522.04999999999995"/>
    <n v="644.91"/>
    <n v="41.61"/>
    <n v="743.54"/>
    <n v="7455"/>
    <x v="0"/>
    <n v="2647.2799999999997"/>
    <n v="0.3551012743125419"/>
    <x v="151"/>
    <x v="151"/>
    <x v="151"/>
    <x v="151"/>
  </r>
  <r>
    <n v="259.43"/>
    <n v="329.67"/>
    <n v="656.14"/>
    <n v="914.94"/>
    <n v="703.49"/>
    <n v="662.19"/>
    <n v="8277"/>
    <x v="0"/>
    <n v="3525.86"/>
    <n v="0.42598284402561315"/>
    <x v="152"/>
    <x v="152"/>
    <x v="152"/>
    <x v="152"/>
  </r>
  <r>
    <n v="875.12"/>
    <n v="384.08"/>
    <n v="808.14"/>
    <n v="552.04999999999995"/>
    <n v="616.29"/>
    <n v="605.12"/>
    <n v="8659"/>
    <x v="0"/>
    <n v="3840.8"/>
    <n v="0.44356161219540363"/>
    <x v="153"/>
    <x v="153"/>
    <x v="153"/>
    <x v="153"/>
  </r>
  <r>
    <n v="333.54"/>
    <n v="796.11"/>
    <n v="516.83000000000004"/>
    <n v="794.89"/>
    <n v="193.18"/>
    <n v="481.94"/>
    <n v="7970"/>
    <x v="0"/>
    <n v="3116.49"/>
    <n v="0.39102760351317439"/>
    <x v="154"/>
    <x v="154"/>
    <x v="154"/>
    <x v="154"/>
  </r>
  <r>
    <n v="637.70000000000005"/>
    <n v="33.549999999999997"/>
    <n v="582.04999999999995"/>
    <n v="753.24"/>
    <n v="307.22000000000003"/>
    <n v="525.67999999999995"/>
    <n v="6595"/>
    <x v="1"/>
    <n v="2839.44"/>
    <n v="0.43054435178165279"/>
    <x v="155"/>
    <x v="155"/>
    <x v="155"/>
    <x v="155"/>
  </r>
  <r>
    <n v="670.31"/>
    <n v="26.73"/>
    <n v="522.02"/>
    <n v="440.71"/>
    <n v="105.33"/>
    <n v="275.16000000000003"/>
    <n v="4519"/>
    <x v="3"/>
    <n v="2040.26"/>
    <n v="0.45148484177915466"/>
    <x v="156"/>
    <x v="156"/>
    <x v="156"/>
    <x v="156"/>
  </r>
  <r>
    <n v="398.07"/>
    <n v="611.35"/>
    <n v="333.33"/>
    <n v="160.58000000000001"/>
    <n v="952.81"/>
    <n v="438.19"/>
    <n v="6430"/>
    <x v="1"/>
    <n v="2894.33"/>
    <n v="0.45012908242612754"/>
    <x v="157"/>
    <x v="157"/>
    <x v="157"/>
    <x v="157"/>
  </r>
  <r>
    <n v="207.49"/>
    <n v="417.62"/>
    <n v="331.3"/>
    <n v="484.32"/>
    <n v="849.61"/>
    <n v="845.14"/>
    <n v="7782"/>
    <x v="0"/>
    <n v="3135.48"/>
    <n v="0.40291441788743254"/>
    <x v="158"/>
    <x v="158"/>
    <x v="158"/>
    <x v="158"/>
  </r>
  <r>
    <n v="620.28"/>
    <n v="290.29000000000002"/>
    <n v="118.69"/>
    <n v="436.82"/>
    <n v="803.95"/>
    <n v="294.95999999999998"/>
    <n v="5507"/>
    <x v="1"/>
    <n v="2564.9899999999998"/>
    <n v="0.46576902124568725"/>
    <x v="159"/>
    <x v="159"/>
    <x v="159"/>
    <x v="159"/>
  </r>
  <r>
    <n v="590.98"/>
    <n v="3.63"/>
    <n v="486.88"/>
    <n v="95.81"/>
    <n v="119.34"/>
    <n v="409.45"/>
    <n v="3956"/>
    <x v="3"/>
    <n v="1706.09"/>
    <n v="0.43126643073811927"/>
    <x v="160"/>
    <x v="160"/>
    <x v="160"/>
    <x v="160"/>
  </r>
  <r>
    <n v="341.21"/>
    <n v="535.35"/>
    <n v="820.88"/>
    <n v="44.73"/>
    <n v="730.23"/>
    <n v="807.56"/>
    <n v="7737"/>
    <x v="0"/>
    <n v="3279.96"/>
    <n v="0.42393175649476544"/>
    <x v="161"/>
    <x v="161"/>
    <x v="161"/>
    <x v="161"/>
  </r>
  <r>
    <n v="515.55999999999995"/>
    <n v="765.58"/>
    <n v="670.14"/>
    <n v="79.95"/>
    <n v="525.42999999999995"/>
    <n v="609.28"/>
    <n v="7585"/>
    <x v="0"/>
    <n v="3165.9399999999996"/>
    <n v="0.41739485827290701"/>
    <x v="162"/>
    <x v="162"/>
    <x v="162"/>
    <x v="162"/>
  </r>
  <r>
    <n v="711.36"/>
    <n v="84.09"/>
    <n v="52.43"/>
    <n v="907.89"/>
    <n v="744.53"/>
    <n v="85.62"/>
    <n v="5279"/>
    <x v="1"/>
    <n v="2585.92"/>
    <n v="0.48985035044516007"/>
    <x v="163"/>
    <x v="163"/>
    <x v="163"/>
    <x v="163"/>
  </r>
  <r>
    <n v="493.47"/>
    <n v="326.11"/>
    <n v="546.03"/>
    <n v="406.79"/>
    <n v="492.74"/>
    <n v="610.5"/>
    <n v="6838"/>
    <x v="1"/>
    <n v="2875.6400000000003"/>
    <n v="0.42053816905527935"/>
    <x v="164"/>
    <x v="164"/>
    <x v="164"/>
    <x v="164"/>
  </r>
  <r>
    <n v="966.54"/>
    <n v="617.79999999999995"/>
    <n v="850.09"/>
    <n v="731.43"/>
    <n v="999.83"/>
    <n v="354.16"/>
    <n v="9498"/>
    <x v="2"/>
    <n v="4519.8499999999995"/>
    <n v="0.47587386818277527"/>
    <x v="165"/>
    <x v="165"/>
    <x v="165"/>
    <x v="165"/>
  </r>
  <r>
    <n v="362.64"/>
    <n v="54.75"/>
    <n v="754.27"/>
    <n v="888.38"/>
    <n v="574.96"/>
    <n v="324.74"/>
    <n v="6238"/>
    <x v="1"/>
    <n v="2959.74"/>
    <n v="0.47446938121192689"/>
    <x v="166"/>
    <x v="166"/>
    <x v="166"/>
    <x v="166"/>
  </r>
  <r>
    <n v="251.5"/>
    <n v="937.55"/>
    <n v="330.19"/>
    <n v="277.27999999999997"/>
    <n v="411.96"/>
    <n v="336.4"/>
    <n v="6356"/>
    <x v="1"/>
    <n v="2544.88"/>
    <n v="0.40039018250471997"/>
    <x v="167"/>
    <x v="167"/>
    <x v="167"/>
    <x v="167"/>
  </r>
  <r>
    <n v="410.44"/>
    <n v="608.41"/>
    <n v="719.84"/>
    <n v="907.29"/>
    <n v="84.35"/>
    <n v="681.15"/>
    <n v="8806"/>
    <x v="0"/>
    <n v="3411.48"/>
    <n v="0.38740404269816037"/>
    <x v="168"/>
    <x v="168"/>
    <x v="168"/>
    <x v="168"/>
  </r>
  <r>
    <n v="836.78"/>
    <n v="395.37"/>
    <n v="26.66"/>
    <n v="152.38"/>
    <n v="786.1"/>
    <n v="738.4"/>
    <n v="7175"/>
    <x v="0"/>
    <n v="2935.69"/>
    <n v="0.40915540069686412"/>
    <x v="169"/>
    <x v="169"/>
    <x v="169"/>
    <x v="169"/>
  </r>
  <r>
    <n v="60.41"/>
    <n v="884.67"/>
    <n v="892.1"/>
    <n v="576.07000000000005"/>
    <n v="74.290000000000006"/>
    <n v="704.23"/>
    <n v="8472"/>
    <x v="0"/>
    <n v="3191.77"/>
    <n v="0.37674338999055712"/>
    <x v="170"/>
    <x v="170"/>
    <x v="170"/>
    <x v="170"/>
  </r>
  <r>
    <n v="226.56"/>
    <n v="802.92"/>
    <n v="55.51"/>
    <n v="300.17"/>
    <n v="6.18"/>
    <n v="141.22999999999999"/>
    <n v="4279"/>
    <x v="3"/>
    <n v="1532.5700000000002"/>
    <n v="0.35816078523019401"/>
    <x v="171"/>
    <x v="171"/>
    <x v="171"/>
    <x v="171"/>
  </r>
  <r>
    <n v="117.94"/>
    <n v="635.13"/>
    <n v="238.6"/>
    <n v="364.03"/>
    <n v="324.37"/>
    <n v="497.95"/>
    <n v="5787"/>
    <x v="1"/>
    <n v="2178.0199999999995"/>
    <n v="0.3763642647312942"/>
    <x v="172"/>
    <x v="172"/>
    <x v="172"/>
    <x v="172"/>
  </r>
  <r>
    <n v="590.38"/>
    <n v="541.99"/>
    <n v="468.96"/>
    <n v="559.48"/>
    <n v="688.64"/>
    <n v="271.45999999999998"/>
    <n v="6827"/>
    <x v="1"/>
    <n v="3120.91"/>
    <n v="0.45714222938333088"/>
    <x v="173"/>
    <x v="173"/>
    <x v="173"/>
    <x v="173"/>
  </r>
  <r>
    <n v="255.61"/>
    <n v="637.59"/>
    <n v="496.61"/>
    <n v="203.09"/>
    <n v="614.44000000000005"/>
    <n v="206.61"/>
    <n v="5235"/>
    <x v="1"/>
    <n v="2413.9500000000003"/>
    <n v="0.46111747851002871"/>
    <x v="174"/>
    <x v="174"/>
    <x v="174"/>
    <x v="174"/>
  </r>
  <r>
    <n v="428.43"/>
    <n v="12.55"/>
    <n v="145.97"/>
    <n v="512.33000000000004"/>
    <n v="853.58"/>
    <n v="196.52"/>
    <n v="4212"/>
    <x v="3"/>
    <n v="2149.38"/>
    <n v="0.51029914529914533"/>
    <x v="175"/>
    <x v="175"/>
    <x v="175"/>
    <x v="175"/>
  </r>
  <r>
    <n v="149.78"/>
    <n v="191.97"/>
    <n v="558.87"/>
    <n v="172.98"/>
    <n v="412.79"/>
    <n v="178.45"/>
    <n v="3335"/>
    <x v="3"/>
    <n v="1664.84"/>
    <n v="0.49920239880059969"/>
    <x v="176"/>
    <x v="176"/>
    <x v="176"/>
    <x v="176"/>
  </r>
  <r>
    <n v="328.07"/>
    <n v="782.75"/>
    <n v="172.69"/>
    <n v="313.47000000000003"/>
    <n v="124.85"/>
    <n v="453.17"/>
    <n v="6026"/>
    <x v="1"/>
    <n v="2175"/>
    <n v="0.36093594424161962"/>
    <x v="177"/>
    <x v="177"/>
    <x v="177"/>
    <x v="177"/>
  </r>
  <r>
    <n v="795.28"/>
    <n v="970.21"/>
    <n v="968.39"/>
    <n v="857.64"/>
    <n v="255.73"/>
    <n v="149.38999999999999"/>
    <n v="9011"/>
    <x v="2"/>
    <n v="3996.64"/>
    <n v="0.44352902008656087"/>
    <x v="178"/>
    <x v="178"/>
    <x v="178"/>
    <x v="178"/>
  </r>
  <r>
    <n v="72.75"/>
    <n v="880.44"/>
    <n v="239.08"/>
    <n v="949.07"/>
    <n v="902.65"/>
    <n v="148.75"/>
    <n v="7192"/>
    <x v="0"/>
    <n v="3192.7400000000002"/>
    <n v="0.44392936596218024"/>
    <x v="179"/>
    <x v="179"/>
    <x v="179"/>
    <x v="179"/>
  </r>
  <r>
    <n v="132.99"/>
    <n v="757.7"/>
    <n v="167.64"/>
    <n v="230.73"/>
    <n v="297.79000000000002"/>
    <n v="886.06"/>
    <n v="7282"/>
    <x v="0"/>
    <n v="2472.91"/>
    <n v="0.33959214501510571"/>
    <x v="180"/>
    <x v="180"/>
    <x v="180"/>
    <x v="180"/>
  </r>
  <r>
    <n v="284"/>
    <n v="556.77"/>
    <n v="96.05"/>
    <n v="116.79"/>
    <n v="694.57"/>
    <n v="559.16"/>
    <n v="5744"/>
    <x v="1"/>
    <n v="2307.3399999999997"/>
    <n v="0.40169568245125342"/>
    <x v="181"/>
    <x v="181"/>
    <x v="181"/>
    <x v="181"/>
  </r>
  <r>
    <n v="36.04"/>
    <n v="925.81"/>
    <n v="822.63"/>
    <n v="531.66999999999996"/>
    <n v="57.51"/>
    <n v="218.46"/>
    <n v="6348"/>
    <x v="1"/>
    <n v="2592.1200000000003"/>
    <n v="0.4083364839319471"/>
    <x v="182"/>
    <x v="182"/>
    <x v="182"/>
    <x v="182"/>
  </r>
  <r>
    <n v="599.91999999999996"/>
    <n v="832.48"/>
    <n v="116.6"/>
    <n v="296.04000000000002"/>
    <n v="970.38"/>
    <n v="415.97"/>
    <n v="7425"/>
    <x v="0"/>
    <n v="3231.3900000000003"/>
    <n v="0.43520404040404043"/>
    <x v="183"/>
    <x v="183"/>
    <x v="183"/>
    <x v="183"/>
  </r>
  <r>
    <n v="994.4"/>
    <n v="785.92"/>
    <n v="159.25"/>
    <n v="381.83"/>
    <n v="296.66000000000003"/>
    <n v="892.39"/>
    <n v="9473"/>
    <x v="2"/>
    <n v="3510.45"/>
    <n v="0.3705742636968225"/>
    <x v="184"/>
    <x v="184"/>
    <x v="184"/>
    <x v="184"/>
  </r>
  <r>
    <n v="36.04"/>
    <n v="423.25"/>
    <n v="166.91"/>
    <n v="222.02"/>
    <n v="598.42999999999995"/>
    <n v="247.19"/>
    <n v="3878"/>
    <x v="3"/>
    <n v="1693.8400000000001"/>
    <n v="0.43678184631253225"/>
    <x v="185"/>
    <x v="185"/>
    <x v="185"/>
    <x v="185"/>
  </r>
  <r>
    <n v="475.17"/>
    <n v="380.97"/>
    <n v="460.06"/>
    <n v="642.39"/>
    <n v="220"/>
    <n v="376.2"/>
    <n v="6144"/>
    <x v="1"/>
    <n v="2554.79"/>
    <n v="0.41581868489583335"/>
    <x v="186"/>
    <x v="186"/>
    <x v="186"/>
    <x v="186"/>
  </r>
  <r>
    <n v="587.02"/>
    <n v="361.02"/>
    <n v="694.24"/>
    <n v="329.66"/>
    <n v="797.7"/>
    <n v="313.52999999999997"/>
    <n v="6324"/>
    <x v="1"/>
    <n v="3083.17"/>
    <n v="0.48753478810879192"/>
    <x v="187"/>
    <x v="187"/>
    <x v="187"/>
    <x v="187"/>
  </r>
  <r>
    <n v="781.15"/>
    <n v="552.75"/>
    <n v="174.21"/>
    <n v="601.86"/>
    <n v="777.93"/>
    <n v="366.76"/>
    <n v="7383"/>
    <x v="0"/>
    <n v="3254.66"/>
    <n v="0.440831640254639"/>
    <x v="188"/>
    <x v="188"/>
    <x v="188"/>
    <x v="188"/>
  </r>
  <r>
    <n v="472.43"/>
    <n v="114.31"/>
    <n v="565.1"/>
    <n v="905.36"/>
    <n v="405.67"/>
    <n v="185.11"/>
    <n v="5620"/>
    <x v="1"/>
    <n v="2647.9800000000005"/>
    <n v="0.47117081850533815"/>
    <x v="189"/>
    <x v="189"/>
    <x v="189"/>
    <x v="189"/>
  </r>
  <r>
    <n v="54.08"/>
    <n v="736.44"/>
    <n v="997.23"/>
    <n v="735.75"/>
    <n v="9.5299999999999994"/>
    <n v="71.72"/>
    <n v="5940"/>
    <x v="1"/>
    <n v="2604.75"/>
    <n v="0.43851010101010102"/>
    <x v="190"/>
    <x v="190"/>
    <x v="190"/>
    <x v="190"/>
  </r>
  <r>
    <n v="274.3"/>
    <n v="333.08"/>
    <n v="614.04999999999995"/>
    <n v="620.32000000000005"/>
    <n v="174.87"/>
    <n v="574.23"/>
    <n v="6519"/>
    <x v="1"/>
    <n v="2590.85"/>
    <n v="0.39743058751342231"/>
    <x v="191"/>
    <x v="191"/>
    <x v="191"/>
    <x v="191"/>
  </r>
  <r>
    <n v="906.84"/>
    <n v="187.21"/>
    <n v="676.99"/>
    <n v="655.5"/>
    <n v="321.58999999999997"/>
    <n v="632.86"/>
    <n v="7964"/>
    <x v="0"/>
    <n v="3380.9900000000002"/>
    <n v="0.42453415369161229"/>
    <x v="192"/>
    <x v="192"/>
    <x v="192"/>
    <x v="192"/>
  </r>
  <r>
    <n v="855.78"/>
    <n v="620.44000000000005"/>
    <n v="763.26"/>
    <n v="385.05"/>
    <n v="461.73"/>
    <n v="58.23"/>
    <n v="6456"/>
    <x v="1"/>
    <n v="3144.4900000000002"/>
    <n v="0.48706474597273858"/>
    <x v="193"/>
    <x v="193"/>
    <x v="193"/>
    <x v="193"/>
  </r>
  <r>
    <n v="269.01"/>
    <n v="390.09"/>
    <n v="860.02"/>
    <n v="944.26"/>
    <n v="607.54999999999995"/>
    <n v="277.63"/>
    <n v="7174"/>
    <x v="0"/>
    <n v="3348.5600000000004"/>
    <n v="0.4667633119598551"/>
    <x v="194"/>
    <x v="194"/>
    <x v="194"/>
    <x v="194"/>
  </r>
  <r>
    <n v="52.01"/>
    <n v="177.25"/>
    <n v="174.17"/>
    <n v="686.41"/>
    <n v="618.69000000000005"/>
    <n v="234.05"/>
    <n v="4278"/>
    <x v="3"/>
    <n v="1942.58"/>
    <n v="0.4540860215053763"/>
    <x v="195"/>
    <x v="195"/>
    <x v="195"/>
    <x v="195"/>
  </r>
  <r>
    <n v="610.15"/>
    <n v="995.32"/>
    <n v="757.92"/>
    <n v="622.36"/>
    <n v="241.99"/>
    <n v="910.61"/>
    <n v="10841"/>
    <x v="2"/>
    <n v="4138.3499999999995"/>
    <n v="0.38173139009316481"/>
    <x v="196"/>
    <x v="196"/>
    <x v="196"/>
    <x v="196"/>
  </r>
  <r>
    <n v="387.72"/>
    <n v="256.08"/>
    <n v="791.75"/>
    <n v="40.6"/>
    <n v="822.03"/>
    <n v="342"/>
    <n v="5185"/>
    <x v="1"/>
    <n v="2640.18"/>
    <n v="0.50919575699132114"/>
    <x v="197"/>
    <x v="197"/>
    <x v="197"/>
    <x v="197"/>
  </r>
  <r>
    <n v="328.11"/>
    <n v="183.13"/>
    <n v="850.23"/>
    <n v="461.4"/>
    <n v="345.2"/>
    <n v="489.56"/>
    <n v="6005"/>
    <x v="1"/>
    <n v="2657.6299999999997"/>
    <n v="0.4425695253955037"/>
    <x v="198"/>
    <x v="198"/>
    <x v="198"/>
    <x v="198"/>
  </r>
  <r>
    <n v="890.01"/>
    <n v="373.28"/>
    <n v="623.96"/>
    <n v="228.75"/>
    <n v="314.52"/>
    <n v="224.78"/>
    <n v="5681"/>
    <x v="1"/>
    <n v="2655.3"/>
    <n v="0.46740010561520862"/>
    <x v="199"/>
    <x v="199"/>
    <x v="199"/>
    <x v="199"/>
  </r>
  <r>
    <n v="167.14"/>
    <n v="943.57"/>
    <n v="820.53"/>
    <n v="455"/>
    <n v="131.76"/>
    <n v="363.92"/>
    <n v="7130"/>
    <x v="0"/>
    <n v="2881.92"/>
    <n v="0.40419635343618515"/>
    <x v="200"/>
    <x v="200"/>
    <x v="200"/>
    <x v="200"/>
  </r>
  <r>
    <n v="668.24"/>
    <n v="798.99"/>
    <n v="171.95"/>
    <n v="283.05"/>
    <n v="546.02"/>
    <n v="677.84"/>
    <n v="8078"/>
    <x v="0"/>
    <n v="3146.09"/>
    <n v="0.38946397623174056"/>
    <x v="201"/>
    <x v="201"/>
    <x v="201"/>
    <x v="201"/>
  </r>
  <r>
    <n v="249.8"/>
    <n v="487.18"/>
    <n v="922.77"/>
    <n v="18.489999999999998"/>
    <n v="510.91"/>
    <n v="837.58"/>
    <n v="7339"/>
    <x v="0"/>
    <n v="3026.73"/>
    <n v="0.41241722305491213"/>
    <x v="202"/>
    <x v="202"/>
    <x v="202"/>
    <x v="202"/>
  </r>
  <r>
    <n v="188.82"/>
    <n v="129.27000000000001"/>
    <n v="230.43"/>
    <n v="464.89"/>
    <n v="389.11"/>
    <n v="748.99"/>
    <n v="5728"/>
    <x v="1"/>
    <n v="2151.5100000000002"/>
    <n v="0.37561277932960896"/>
    <x v="203"/>
    <x v="203"/>
    <x v="203"/>
    <x v="203"/>
  </r>
  <r>
    <n v="383.98"/>
    <n v="654.54"/>
    <n v="678.22"/>
    <n v="651.29"/>
    <n v="415.85"/>
    <n v="411.91"/>
    <n v="7529"/>
    <x v="0"/>
    <n v="3195.7899999999995"/>
    <n v="0.42446407225395133"/>
    <x v="204"/>
    <x v="204"/>
    <x v="204"/>
    <x v="204"/>
  </r>
  <r>
    <n v="649.53"/>
    <n v="795.64"/>
    <n v="533.72"/>
    <n v="510.37"/>
    <n v="485.43"/>
    <n v="608.69000000000005"/>
    <n v="8775"/>
    <x v="0"/>
    <n v="3583.38"/>
    <n v="0.4083623931623932"/>
    <x v="205"/>
    <x v="205"/>
    <x v="205"/>
    <x v="205"/>
  </r>
  <r>
    <n v="519.08000000000004"/>
    <n v="493.1"/>
    <n v="375.53"/>
    <n v="579.99"/>
    <n v="491.61"/>
    <n v="255.77"/>
    <n v="6163"/>
    <x v="1"/>
    <n v="2715.08"/>
    <n v="0.4405451890313159"/>
    <x v="206"/>
    <x v="206"/>
    <x v="206"/>
    <x v="206"/>
  </r>
  <r>
    <n v="920.06"/>
    <n v="668.16"/>
    <n v="771.18"/>
    <n v="37.54"/>
    <n v="107.77"/>
    <n v="765.11"/>
    <n v="8281"/>
    <x v="0"/>
    <n v="3269.8199999999997"/>
    <n v="0.39485810892404294"/>
    <x v="207"/>
    <x v="207"/>
    <x v="207"/>
    <x v="207"/>
  </r>
  <r>
    <n v="754.81"/>
    <n v="590.70000000000005"/>
    <n v="655.69"/>
    <n v="228.98"/>
    <n v="495.76"/>
    <n v="821.56"/>
    <n v="8724"/>
    <x v="0"/>
    <n v="3547.4999999999995"/>
    <n v="0.40663686382393394"/>
    <x v="208"/>
    <x v="208"/>
    <x v="208"/>
    <x v="208"/>
  </r>
  <r>
    <n v="936.41"/>
    <n v="624.97"/>
    <n v="178.87"/>
    <n v="99.33"/>
    <n v="899.69"/>
    <n v="423.56"/>
    <n v="7054"/>
    <x v="0"/>
    <n v="3162.83"/>
    <n v="0.44837397221434644"/>
    <x v="209"/>
    <x v="209"/>
    <x v="209"/>
    <x v="209"/>
  </r>
  <r>
    <n v="257.56"/>
    <n v="524.15"/>
    <n v="414.8"/>
    <n v="828.4"/>
    <n v="544.84"/>
    <n v="733.99"/>
    <n v="8366"/>
    <x v="0"/>
    <n v="3303.74"/>
    <n v="0.39490078890748265"/>
    <x v="210"/>
    <x v="210"/>
    <x v="210"/>
    <x v="210"/>
  </r>
  <r>
    <n v="584.41"/>
    <n v="98.11"/>
    <n v="55.77"/>
    <n v="656"/>
    <n v="313.47000000000003"/>
    <n v="972.78"/>
    <n v="7455"/>
    <x v="0"/>
    <n v="2680.54"/>
    <n v="0.3595627095908786"/>
    <x v="211"/>
    <x v="211"/>
    <x v="211"/>
    <x v="211"/>
  </r>
  <r>
    <n v="191.11"/>
    <n v="438.26"/>
    <n v="529.16999999999996"/>
    <n v="479.65"/>
    <n v="299.81"/>
    <n v="34.17"/>
    <n v="4165"/>
    <x v="3"/>
    <n v="1972.17"/>
    <n v="0.47351020408163269"/>
    <x v="212"/>
    <x v="212"/>
    <x v="212"/>
    <x v="212"/>
  </r>
  <r>
    <n v="147.88999999999999"/>
    <n v="256.27999999999997"/>
    <n v="444.81"/>
    <n v="77.17"/>
    <n v="736.17"/>
    <n v="937.95"/>
    <n v="6559"/>
    <x v="1"/>
    <n v="2600.27"/>
    <n v="0.39644305534380242"/>
    <x v="213"/>
    <x v="213"/>
    <x v="213"/>
    <x v="213"/>
  </r>
  <r>
    <n v="594.03"/>
    <n v="255.6"/>
    <n v="411.98"/>
    <n v="208.8"/>
    <n v="101.1"/>
    <n v="723.18"/>
    <n v="6104"/>
    <x v="1"/>
    <n v="2294.69"/>
    <n v="0.37593217562254261"/>
    <x v="214"/>
    <x v="214"/>
    <x v="214"/>
    <x v="214"/>
  </r>
  <r>
    <n v="626.96"/>
    <n v="160.57"/>
    <n v="823.18"/>
    <n v="650.20000000000005"/>
    <n v="662.36"/>
    <n v="933.53"/>
    <n v="9144"/>
    <x v="2"/>
    <n v="3856.8"/>
    <n v="0.42178477690288718"/>
    <x v="215"/>
    <x v="215"/>
    <x v="215"/>
    <x v="215"/>
  </r>
  <r>
    <n v="139.72"/>
    <n v="831.04"/>
    <n v="843.23"/>
    <n v="654.59"/>
    <n v="325.38"/>
    <n v="30.01"/>
    <n v="6176"/>
    <x v="1"/>
    <n v="2823.9700000000003"/>
    <n v="0.45724902849740939"/>
    <x v="216"/>
    <x v="216"/>
    <x v="216"/>
    <x v="216"/>
  </r>
  <r>
    <n v="975.65"/>
    <n v="306.3"/>
    <n v="835.84"/>
    <n v="332.31"/>
    <n v="261.19"/>
    <n v="435.6"/>
    <n v="7019"/>
    <x v="0"/>
    <n v="3146.89"/>
    <n v="0.44833879470009969"/>
    <x v="217"/>
    <x v="217"/>
    <x v="217"/>
    <x v="217"/>
  </r>
  <r>
    <n v="811.16"/>
    <n v="115.99"/>
    <n v="36.909999999999997"/>
    <n v="48.41"/>
    <n v="616.23"/>
    <n v="365.65"/>
    <n v="4344"/>
    <x v="3"/>
    <n v="1994.35"/>
    <n v="0.45910451197053403"/>
    <x v="218"/>
    <x v="218"/>
    <x v="218"/>
    <x v="218"/>
  </r>
  <r>
    <n v="217.94"/>
    <n v="588.9"/>
    <n v="811.95"/>
    <n v="617.71"/>
    <n v="922.97"/>
    <n v="525.86"/>
    <n v="8175"/>
    <x v="0"/>
    <n v="3685.3300000000004"/>
    <n v="0.45080489296636089"/>
    <x v="219"/>
    <x v="219"/>
    <x v="219"/>
    <x v="219"/>
  </r>
  <r>
    <n v="783.39"/>
    <n v="185.17"/>
    <n v="997.6"/>
    <n v="578.32000000000005"/>
    <n v="811.54"/>
    <n v="119.33"/>
    <n v="6522"/>
    <x v="1"/>
    <n v="3475.35"/>
    <n v="0.53286568537258505"/>
    <x v="220"/>
    <x v="220"/>
    <x v="220"/>
    <x v="220"/>
  </r>
  <r>
    <n v="524.13"/>
    <n v="762.87"/>
    <n v="327.47000000000003"/>
    <n v="236.32"/>
    <n v="128.59"/>
    <n v="817.47"/>
    <n v="7848"/>
    <x v="0"/>
    <n v="2796.85"/>
    <n v="0.35637742099898062"/>
    <x v="221"/>
    <x v="221"/>
    <x v="221"/>
    <x v="221"/>
  </r>
  <r>
    <n v="374.53"/>
    <n v="344.97"/>
    <n v="553.29999999999995"/>
    <n v="589.08000000000004"/>
    <n v="649.84"/>
    <n v="984.5"/>
    <n v="8816"/>
    <x v="0"/>
    <n v="3496.2200000000003"/>
    <n v="0.39657667876588026"/>
    <x v="222"/>
    <x v="222"/>
    <x v="222"/>
    <x v="222"/>
  </r>
  <r>
    <n v="506.05"/>
    <n v="293.98"/>
    <n v="145.94"/>
    <n v="299.63"/>
    <n v="819.33"/>
    <n v="20.55"/>
    <n v="3947"/>
    <x v="3"/>
    <n v="2085.48"/>
    <n v="0.52837091461869778"/>
    <x v="223"/>
    <x v="223"/>
    <x v="223"/>
    <x v="223"/>
  </r>
  <r>
    <n v="111.67"/>
    <n v="325.81"/>
    <n v="846.96"/>
    <n v="823.89"/>
    <n v="815.57"/>
    <n v="537.87"/>
    <n v="7666"/>
    <x v="0"/>
    <n v="3461.77"/>
    <n v="0.45157448473780326"/>
    <x v="224"/>
    <x v="224"/>
    <x v="224"/>
    <x v="224"/>
  </r>
  <r>
    <n v="807.13"/>
    <n v="127.07"/>
    <n v="596.9"/>
    <n v="886.41"/>
    <n v="618.66"/>
    <n v="26.23"/>
    <n v="5957"/>
    <x v="1"/>
    <n v="3062.3999999999996"/>
    <n v="0.5140842706060097"/>
    <x v="225"/>
    <x v="225"/>
    <x v="225"/>
    <x v="225"/>
  </r>
  <r>
    <n v="251.03"/>
    <n v="553.97"/>
    <n v="571.47"/>
    <n v="91.9"/>
    <n v="233.84"/>
    <n v="205.21"/>
    <n v="4358"/>
    <x v="3"/>
    <n v="1907.42"/>
    <n v="0.4376824231298761"/>
    <x v="226"/>
    <x v="226"/>
    <x v="226"/>
    <x v="226"/>
  </r>
  <r>
    <n v="314.41000000000003"/>
    <n v="67.430000000000007"/>
    <n v="296.51"/>
    <n v="728.87"/>
    <n v="494.04"/>
    <n v="374.83"/>
    <n v="5199"/>
    <x v="1"/>
    <n v="2276.09"/>
    <n v="0.43779380650125027"/>
    <x v="227"/>
    <x v="227"/>
    <x v="227"/>
    <x v="227"/>
  </r>
  <r>
    <n v="347.01"/>
    <n v="103.13"/>
    <n v="275.39999999999998"/>
    <n v="711.14"/>
    <n v="23.83"/>
    <n v="138.33000000000001"/>
    <n v="3779"/>
    <x v="3"/>
    <n v="1598.8399999999997"/>
    <n v="0.42308547234718169"/>
    <x v="228"/>
    <x v="228"/>
    <x v="228"/>
    <x v="228"/>
  </r>
  <r>
    <n v="130.31"/>
    <n v="663.36"/>
    <n v="865.77"/>
    <n v="477.86"/>
    <n v="7.27"/>
    <n v="122.8"/>
    <n v="5235"/>
    <x v="1"/>
    <n v="2267.3700000000003"/>
    <n v="0.43311747851002874"/>
    <x v="229"/>
    <x v="229"/>
    <x v="229"/>
    <x v="229"/>
  </r>
  <r>
    <n v="46.41"/>
    <n v="760.8"/>
    <n v="137.61000000000001"/>
    <n v="493.29"/>
    <n v="727.95"/>
    <n v="34.15"/>
    <n v="4824"/>
    <x v="3"/>
    <n v="2200.21"/>
    <n v="0.45609660033167498"/>
    <x v="230"/>
    <x v="230"/>
    <x v="230"/>
    <x v="230"/>
  </r>
  <r>
    <n v="106.55"/>
    <n v="181.42"/>
    <n v="343.32"/>
    <n v="581.92999999999995"/>
    <n v="664.95"/>
    <n v="600.27"/>
    <n v="5934"/>
    <x v="1"/>
    <n v="2478.4399999999996"/>
    <n v="0.41766767778901243"/>
    <x v="231"/>
    <x v="231"/>
    <x v="231"/>
    <x v="231"/>
  </r>
  <r>
    <n v="866.83"/>
    <n v="327.32"/>
    <n v="20.61"/>
    <n v="354.38"/>
    <n v="834.56"/>
    <n v="638.98"/>
    <n v="7180"/>
    <x v="0"/>
    <n v="3042.68"/>
    <n v="0.42377158774373258"/>
    <x v="232"/>
    <x v="232"/>
    <x v="232"/>
    <x v="232"/>
  </r>
  <r>
    <n v="143.05000000000001"/>
    <n v="722.7"/>
    <n v="141.99"/>
    <n v="953.58"/>
    <n v="48.53"/>
    <n v="797.64"/>
    <n v="8297"/>
    <x v="0"/>
    <n v="2807.4900000000002"/>
    <n v="0.33837411112450289"/>
    <x v="233"/>
    <x v="233"/>
    <x v="233"/>
    <x v="233"/>
  </r>
  <r>
    <n v="428.61"/>
    <n v="610.14"/>
    <n v="959.11"/>
    <n v="583.57000000000005"/>
    <n v="524.53"/>
    <n v="617.94000000000005"/>
    <n v="8683"/>
    <x v="0"/>
    <n v="3723.9"/>
    <n v="0.42887250950132444"/>
    <x v="234"/>
    <x v="234"/>
    <x v="234"/>
    <x v="234"/>
  </r>
  <r>
    <n v="70.41"/>
    <n v="957.97"/>
    <n v="459.46"/>
    <n v="384.3"/>
    <n v="624.25"/>
    <n v="325.35000000000002"/>
    <n v="6724"/>
    <x v="1"/>
    <n v="2821.7400000000002"/>
    <n v="0.41965199286139204"/>
    <x v="235"/>
    <x v="235"/>
    <x v="235"/>
    <x v="235"/>
  </r>
  <r>
    <n v="981.93"/>
    <n v="6.37"/>
    <n v="686.03"/>
    <n v="398.59"/>
    <n v="177.39"/>
    <n v="912.46"/>
    <n v="7869"/>
    <x v="0"/>
    <n v="3162.77"/>
    <n v="0.40192781802007876"/>
    <x v="236"/>
    <x v="236"/>
    <x v="236"/>
    <x v="236"/>
  </r>
  <r>
    <n v="482.12"/>
    <n v="964.76"/>
    <n v="408.23"/>
    <n v="284.39"/>
    <n v="497.79"/>
    <n v="30.48"/>
    <n v="5897"/>
    <x v="1"/>
    <n v="2667.77"/>
    <n v="0.45239443784975408"/>
    <x v="237"/>
    <x v="237"/>
    <x v="237"/>
    <x v="237"/>
  </r>
  <r>
    <n v="952.76"/>
    <n v="419.16"/>
    <n v="154.41"/>
    <n v="325.73"/>
    <n v="696.88"/>
    <n v="839.26"/>
    <n v="8396"/>
    <x v="0"/>
    <n v="3388.2"/>
    <n v="0.40354930919485466"/>
    <x v="238"/>
    <x v="238"/>
    <x v="238"/>
    <x v="238"/>
  </r>
  <r>
    <n v="671.4"/>
    <n v="440.07"/>
    <n v="891.2"/>
    <n v="496.54"/>
    <n v="168.1"/>
    <n v="693.94"/>
    <n v="8230"/>
    <x v="0"/>
    <n v="3361.25"/>
    <n v="0.40841433778857839"/>
    <x v="239"/>
    <x v="239"/>
    <x v="239"/>
    <x v="239"/>
  </r>
  <r>
    <n v="945.81"/>
    <n v="130.71"/>
    <n v="138.81"/>
    <n v="289.98"/>
    <n v="113.67"/>
    <n v="528.82000000000005"/>
    <n v="5476"/>
    <x v="1"/>
    <n v="2147.8000000000002"/>
    <n v="0.39222059897735578"/>
    <x v="240"/>
    <x v="240"/>
    <x v="240"/>
    <x v="240"/>
  </r>
  <r>
    <n v="769.35"/>
    <n v="155.06"/>
    <n v="481.46"/>
    <n v="769.67"/>
    <n v="87.96"/>
    <n v="132.66999999999999"/>
    <n v="5280"/>
    <x v="1"/>
    <n v="2396.17"/>
    <n v="0.45382007575757577"/>
    <x v="241"/>
    <x v="241"/>
    <x v="241"/>
    <x v="241"/>
  </r>
  <r>
    <n v="810.69"/>
    <n v="34.08"/>
    <n v="738.91"/>
    <n v="962.41"/>
    <n v="77.52"/>
    <n v="581.26"/>
    <n v="7659"/>
    <x v="0"/>
    <n v="3204.87"/>
    <n v="0.41844496670583625"/>
    <x v="242"/>
    <x v="242"/>
    <x v="242"/>
    <x v="242"/>
  </r>
  <r>
    <n v="913.39"/>
    <n v="157.33000000000001"/>
    <n v="463.79"/>
    <n v="946.4"/>
    <n v="13.05"/>
    <n v="406.3"/>
    <n v="7006"/>
    <x v="0"/>
    <n v="2900.26"/>
    <n v="0.41396802740508137"/>
    <x v="243"/>
    <x v="243"/>
    <x v="243"/>
    <x v="243"/>
  </r>
  <r>
    <n v="141.9"/>
    <n v="152.56"/>
    <n v="943.03"/>
    <n v="410.78"/>
    <n v="185.91"/>
    <n v="661.03"/>
    <n v="6045"/>
    <x v="1"/>
    <n v="2495.21"/>
    <n v="0.41277253928866831"/>
    <x v="244"/>
    <x v="244"/>
    <x v="244"/>
    <x v="244"/>
  </r>
  <r>
    <n v="4.33"/>
    <n v="593.79"/>
    <n v="71.45"/>
    <n v="454.6"/>
    <n v="980.12"/>
    <n v="295.33"/>
    <n v="5386"/>
    <x v="1"/>
    <n v="2399.62"/>
    <n v="0.44552914964723356"/>
    <x v="245"/>
    <x v="245"/>
    <x v="245"/>
    <x v="245"/>
  </r>
  <r>
    <n v="224.05"/>
    <n v="637.58000000000004"/>
    <n v="183.57"/>
    <n v="184.65"/>
    <n v="264.44"/>
    <n v="87.95"/>
    <n v="3765"/>
    <x v="3"/>
    <n v="1582.2400000000002"/>
    <n v="0.42024966799468799"/>
    <x v="246"/>
    <x v="246"/>
    <x v="246"/>
    <x v="246"/>
  </r>
  <r>
    <n v="930.75"/>
    <n v="560.91"/>
    <n v="727.85"/>
    <n v="166.23"/>
    <n v="961.25"/>
    <n v="919.77"/>
    <n v="9874"/>
    <x v="2"/>
    <n v="4266.76"/>
    <n v="0.43212072108567956"/>
    <x v="247"/>
    <x v="247"/>
    <x v="247"/>
    <x v="247"/>
  </r>
  <r>
    <n v="479.78"/>
    <n v="387.17"/>
    <n v="447.56"/>
    <n v="226.57"/>
    <n v="527.55999999999995"/>
    <n v="676.01"/>
    <n v="6693"/>
    <x v="1"/>
    <n v="2744.6499999999996"/>
    <n v="0.41007769311220671"/>
    <x v="248"/>
    <x v="248"/>
    <x v="248"/>
    <x v="248"/>
  </r>
  <r>
    <n v="904.41"/>
    <n v="309.92"/>
    <n v="892.82"/>
    <n v="39.880000000000003"/>
    <n v="675.5"/>
    <n v="451.65"/>
    <n v="6797"/>
    <x v="1"/>
    <n v="3274.1800000000003"/>
    <n v="0.48170957775489193"/>
    <x v="249"/>
    <x v="249"/>
    <x v="249"/>
    <x v="249"/>
  </r>
  <r>
    <n v="649.55999999999995"/>
    <n v="473.91"/>
    <n v="390.02"/>
    <n v="660.73"/>
    <n v="565.49"/>
    <n v="978.82"/>
    <n v="9540"/>
    <x v="2"/>
    <n v="3718.53"/>
    <n v="0.38978301886792455"/>
    <x v="250"/>
    <x v="250"/>
    <x v="250"/>
    <x v="250"/>
  </r>
  <r>
    <n v="811.14"/>
    <n v="506.9"/>
    <n v="860.52"/>
    <n v="123.44"/>
    <n v="96.87"/>
    <n v="189.13"/>
    <n v="5606"/>
    <x v="1"/>
    <n v="2588"/>
    <n v="0.46164823403496252"/>
    <x v="251"/>
    <x v="251"/>
    <x v="251"/>
    <x v="251"/>
  </r>
  <r>
    <n v="858.89"/>
    <n v="724.24"/>
    <n v="890.81"/>
    <n v="472.84"/>
    <n v="74.94"/>
    <n v="662.99"/>
    <n v="9156"/>
    <x v="2"/>
    <n v="3684.71"/>
    <n v="0.40243665356050679"/>
    <x v="252"/>
    <x v="252"/>
    <x v="252"/>
    <x v="252"/>
  </r>
  <r>
    <n v="642.89"/>
    <n v="203.27"/>
    <n v="769.51"/>
    <n v="475.05"/>
    <n v="732.54"/>
    <n v="150.62"/>
    <n v="5729"/>
    <x v="1"/>
    <n v="2973.88"/>
    <n v="0.51909233723162862"/>
    <x v="253"/>
    <x v="253"/>
    <x v="253"/>
    <x v="253"/>
  </r>
  <r>
    <n v="978.38"/>
    <n v="847.76"/>
    <n v="438.63"/>
    <n v="151.49"/>
    <n v="155.02000000000001"/>
    <n v="6.74"/>
    <n v="5735"/>
    <x v="1"/>
    <n v="2578.02"/>
    <n v="0.44952397558849172"/>
    <x v="254"/>
    <x v="254"/>
    <x v="254"/>
    <x v="254"/>
  </r>
  <r>
    <n v="560.02"/>
    <n v="772.26"/>
    <n v="349.56"/>
    <n v="996.16"/>
    <n v="360.7"/>
    <n v="757.59"/>
    <n v="9901"/>
    <x v="2"/>
    <n v="3796.29"/>
    <n v="0.38342490657509343"/>
    <x v="255"/>
    <x v="255"/>
    <x v="255"/>
    <x v="255"/>
  </r>
  <r>
    <n v="237.2"/>
    <n v="299.47000000000003"/>
    <n v="798.66"/>
    <n v="268.19"/>
    <n v="100.13"/>
    <n v="828.94"/>
    <n v="6667"/>
    <x v="1"/>
    <n v="2532.59"/>
    <n v="0.37986950652467377"/>
    <x v="256"/>
    <x v="256"/>
    <x v="256"/>
    <x v="256"/>
  </r>
  <r>
    <n v="461.89"/>
    <n v="638.91"/>
    <n v="566.4"/>
    <n v="48"/>
    <n v="677.84"/>
    <n v="907.75"/>
    <n v="8248"/>
    <x v="0"/>
    <n v="3300.79"/>
    <n v="0.4001927740058196"/>
    <x v="257"/>
    <x v="257"/>
    <x v="257"/>
    <x v="257"/>
  </r>
  <r>
    <n v="928.46"/>
    <n v="525.72"/>
    <n v="584.62"/>
    <n v="709.57"/>
    <n v="351.45"/>
    <n v="392.49"/>
    <n v="8098"/>
    <x v="0"/>
    <n v="3492.3100000000004"/>
    <n v="0.43125586564583851"/>
    <x v="258"/>
    <x v="258"/>
    <x v="258"/>
    <x v="258"/>
  </r>
  <r>
    <n v="529.95000000000005"/>
    <n v="191.3"/>
    <n v="89.94"/>
    <n v="28.84"/>
    <n v="507.41"/>
    <n v="256.91000000000003"/>
    <n v="3473"/>
    <x v="3"/>
    <n v="1604.3500000000001"/>
    <n v="0.4619493233515693"/>
    <x v="259"/>
    <x v="259"/>
    <x v="259"/>
    <x v="259"/>
  </r>
  <r>
    <n v="723.93"/>
    <n v="437.97"/>
    <n v="54.43"/>
    <n v="877.91"/>
    <n v="454.95"/>
    <n v="791.16"/>
    <n v="8753"/>
    <x v="0"/>
    <n v="3340.35"/>
    <n v="0.38162344339083742"/>
    <x v="260"/>
    <x v="260"/>
    <x v="260"/>
    <x v="260"/>
  </r>
  <r>
    <n v="502.27"/>
    <n v="606.1"/>
    <n v="113.8"/>
    <n v="589.36"/>
    <n v="359.02"/>
    <n v="878.2"/>
    <n v="8391"/>
    <x v="0"/>
    <n v="3048.75"/>
    <n v="0.36333571683947086"/>
    <x v="261"/>
    <x v="261"/>
    <x v="261"/>
    <x v="261"/>
  </r>
  <r>
    <n v="152.72"/>
    <n v="72.900000000000006"/>
    <n v="746.8"/>
    <n v="295.79000000000002"/>
    <n v="708.24"/>
    <n v="274.36"/>
    <n v="4333"/>
    <x v="3"/>
    <n v="2250.81"/>
    <n v="0.51945765058850679"/>
    <x v="262"/>
    <x v="262"/>
    <x v="262"/>
    <x v="262"/>
  </r>
  <r>
    <n v="920.76"/>
    <n v="365.45"/>
    <n v="142.94999999999999"/>
    <n v="416.52"/>
    <n v="875.27"/>
    <n v="365.21"/>
    <n v="6708"/>
    <x v="1"/>
    <n v="3086.16"/>
    <n v="0.46007155635062608"/>
    <x v="263"/>
    <x v="263"/>
    <x v="263"/>
    <x v="263"/>
  </r>
  <r>
    <n v="48.31"/>
    <n v="555.19000000000005"/>
    <n v="305.47000000000003"/>
    <n v="753.44"/>
    <n v="174.5"/>
    <n v="139.46"/>
    <n v="4878"/>
    <x v="3"/>
    <n v="1976.3700000000001"/>
    <n v="0.40515990159901599"/>
    <x v="264"/>
    <x v="264"/>
    <x v="264"/>
    <x v="264"/>
  </r>
  <r>
    <n v="622.53"/>
    <n v="104.12"/>
    <n v="565.1"/>
    <n v="584.88"/>
    <n v="332.65"/>
    <n v="574.29999999999995"/>
    <n v="6561"/>
    <x v="1"/>
    <n v="2783.58"/>
    <n v="0.42426154549611339"/>
    <x v="265"/>
    <x v="265"/>
    <x v="265"/>
    <x v="265"/>
  </r>
  <r>
    <n v="781.27"/>
    <n v="786.72"/>
    <n v="132.53"/>
    <n v="557.25"/>
    <n v="486.25"/>
    <n v="619.96"/>
    <n v="8574"/>
    <x v="0"/>
    <n v="3363.98"/>
    <n v="0.39234662934452996"/>
    <x v="266"/>
    <x v="266"/>
    <x v="266"/>
    <x v="266"/>
  </r>
  <r>
    <n v="44.77"/>
    <n v="462.32"/>
    <n v="137.03"/>
    <n v="466.47"/>
    <n v="897.51"/>
    <n v="546.67999999999995"/>
    <n v="6110"/>
    <x v="1"/>
    <n v="2554.7800000000002"/>
    <n v="0.41813093289689035"/>
    <x v="267"/>
    <x v="267"/>
    <x v="267"/>
    <x v="267"/>
  </r>
  <r>
    <n v="777.1"/>
    <n v="202.09"/>
    <n v="699.92"/>
    <n v="244.74"/>
    <n v="471.08"/>
    <n v="920.77"/>
    <n v="8088"/>
    <x v="0"/>
    <n v="3315.7000000000003"/>
    <n v="0.40995301681503465"/>
    <x v="268"/>
    <x v="268"/>
    <x v="268"/>
    <x v="268"/>
  </r>
  <r>
    <n v="945.34"/>
    <n v="825.89"/>
    <n v="772.2"/>
    <n v="677.43"/>
    <n v="401.26"/>
    <n v="837.18"/>
    <n v="11062"/>
    <x v="2"/>
    <n v="4459.3"/>
    <n v="0.40311878502983189"/>
    <x v="269"/>
    <x v="269"/>
    <x v="269"/>
    <x v="269"/>
  </r>
  <r>
    <n v="993.92"/>
    <n v="283.52"/>
    <n v="528.13"/>
    <n v="578.70000000000005"/>
    <n v="529.23"/>
    <n v="80.86"/>
    <n v="6026"/>
    <x v="1"/>
    <n v="2994.3600000000006"/>
    <n v="0.49690673747095926"/>
    <x v="270"/>
    <x v="270"/>
    <x v="270"/>
    <x v="270"/>
  </r>
  <r>
    <n v="867.03"/>
    <n v="842.62"/>
    <n v="524.35"/>
    <n v="861.16"/>
    <n v="57.55"/>
    <n v="833.93"/>
    <n v="10585"/>
    <x v="2"/>
    <n v="3986.64"/>
    <n v="0.37663108171941423"/>
    <x v="271"/>
    <x v="271"/>
    <x v="271"/>
    <x v="271"/>
  </r>
  <r>
    <n v="808.06"/>
    <n v="485.57"/>
    <n v="974.78"/>
    <n v="811.9"/>
    <n v="103.54"/>
    <n v="436"/>
    <n v="8429"/>
    <x v="0"/>
    <n v="3619.85"/>
    <n v="0.42945189227666386"/>
    <x v="272"/>
    <x v="272"/>
    <x v="272"/>
    <x v="272"/>
  </r>
  <r>
    <n v="838.61"/>
    <n v="472.36"/>
    <n v="451.52"/>
    <n v="852.62"/>
    <n v="34.9"/>
    <n v="664.99"/>
    <n v="8609"/>
    <x v="0"/>
    <n v="3315"/>
    <n v="0.38506214426762692"/>
    <x v="273"/>
    <x v="273"/>
    <x v="273"/>
    <x v="273"/>
  </r>
  <r>
    <n v="993.84"/>
    <n v="276.72000000000003"/>
    <n v="405.45"/>
    <n v="334.76"/>
    <n v="95.3"/>
    <n v="398.06"/>
    <n v="5970"/>
    <x v="1"/>
    <n v="2504.13"/>
    <n v="0.41945226130653268"/>
    <x v="274"/>
    <x v="274"/>
    <x v="274"/>
    <x v="274"/>
  </r>
  <r>
    <n v="178.84"/>
    <n v="213.36"/>
    <n v="752.21"/>
    <n v="42.51"/>
    <n v="156.04"/>
    <n v="419.79"/>
    <n v="4089"/>
    <x v="3"/>
    <n v="1762.75"/>
    <n v="0.43109562240156518"/>
    <x v="275"/>
    <x v="275"/>
    <x v="275"/>
    <x v="275"/>
  </r>
  <r>
    <n v="380.57"/>
    <n v="108.41"/>
    <n v="592.38"/>
    <n v="723.51"/>
    <n v="524.08000000000004"/>
    <n v="177.85"/>
    <n v="5132"/>
    <x v="1"/>
    <n v="2506.8000000000002"/>
    <n v="0.48846453624318009"/>
    <x v="276"/>
    <x v="276"/>
    <x v="276"/>
    <x v="276"/>
  </r>
  <r>
    <n v="858.69"/>
    <n v="922.49"/>
    <n v="694.91"/>
    <n v="121.48"/>
    <n v="368.16"/>
    <n v="788.05"/>
    <n v="9431"/>
    <x v="2"/>
    <n v="3753.7799999999997"/>
    <n v="0.39802566005725798"/>
    <x v="277"/>
    <x v="277"/>
    <x v="277"/>
    <x v="277"/>
  </r>
  <r>
    <n v="696.38"/>
    <n v="590.16"/>
    <n v="651.28"/>
    <n v="202.29"/>
    <n v="51.87"/>
    <n v="956.28"/>
    <n v="8533"/>
    <x v="0"/>
    <n v="3148.26"/>
    <n v="0.36895113090355097"/>
    <x v="278"/>
    <x v="278"/>
    <x v="278"/>
    <x v="278"/>
  </r>
  <r>
    <n v="408.35"/>
    <n v="581.63"/>
    <n v="205.67"/>
    <n v="712.51"/>
    <n v="102.98"/>
    <n v="534.6"/>
    <n v="6912"/>
    <x v="1"/>
    <n v="2545.7400000000002"/>
    <n v="0.3683072916666667"/>
    <x v="279"/>
    <x v="279"/>
    <x v="279"/>
    <x v="279"/>
  </r>
  <r>
    <n v="265.94"/>
    <n v="768.47"/>
    <n v="756.8"/>
    <n v="891.25"/>
    <n v="481.1"/>
    <n v="179.55"/>
    <n v="7495"/>
    <x v="0"/>
    <n v="3343.11"/>
    <n v="0.44604536357571717"/>
    <x v="280"/>
    <x v="280"/>
    <x v="280"/>
    <x v="280"/>
  </r>
  <r>
    <n v="480.67"/>
    <n v="135.75"/>
    <n v="82.66"/>
    <n v="217.72"/>
    <n v="217.9"/>
    <n v="15.41"/>
    <n v="2353"/>
    <x v="3"/>
    <n v="1150.1100000000001"/>
    <n v="0.48878453038674041"/>
    <x v="281"/>
    <x v="281"/>
    <x v="281"/>
    <x v="281"/>
  </r>
  <r>
    <n v="746.29"/>
    <n v="925.8"/>
    <n v="988.98"/>
    <n v="229.34"/>
    <n v="282.95"/>
    <n v="449.15"/>
    <n v="8488"/>
    <x v="0"/>
    <n v="3622.5099999999998"/>
    <n v="0.42678016022620169"/>
    <x v="282"/>
    <x v="282"/>
    <x v="282"/>
    <x v="282"/>
  </r>
  <r>
    <n v="640.69000000000005"/>
    <n v="966.63"/>
    <n v="624.12"/>
    <n v="948.97"/>
    <n v="480.16"/>
    <n v="651.30999999999995"/>
    <n v="10655"/>
    <x v="2"/>
    <n v="4311.8799999999992"/>
    <n v="0.40468137024870943"/>
    <x v="283"/>
    <x v="283"/>
    <x v="283"/>
    <x v="283"/>
  </r>
  <r>
    <n v="990.33"/>
    <n v="642.99"/>
    <n v="823.74"/>
    <n v="986.35"/>
    <n v="422.92"/>
    <n v="14.64"/>
    <n v="8169"/>
    <x v="0"/>
    <n v="3880.9700000000003"/>
    <n v="0.47508507773289266"/>
    <x v="284"/>
    <x v="284"/>
    <x v="284"/>
    <x v="284"/>
  </r>
  <r>
    <n v="384.82"/>
    <n v="879.57"/>
    <n v="735.47"/>
    <n v="872.34"/>
    <n v="371.94"/>
    <n v="41.79"/>
    <n v="7308"/>
    <x v="0"/>
    <n v="3285.9300000000003"/>
    <n v="0.44963464696223321"/>
    <x v="285"/>
    <x v="285"/>
    <x v="285"/>
    <x v="285"/>
  </r>
  <r>
    <n v="355.88"/>
    <n v="450.45"/>
    <n v="883.78"/>
    <n v="362.08"/>
    <n v="757.46"/>
    <n v="403.82"/>
    <n v="6828"/>
    <x v="1"/>
    <n v="3213.4700000000003"/>
    <n v="0.47063122437024024"/>
    <x v="286"/>
    <x v="286"/>
    <x v="286"/>
    <x v="286"/>
  </r>
  <r>
    <n v="958.24"/>
    <n v="771.17"/>
    <n v="69.459999999999994"/>
    <n v="868.58"/>
    <n v="649.5"/>
    <n v="773.38"/>
    <n v="10387"/>
    <x v="2"/>
    <n v="4090.33"/>
    <n v="0.39379320304226434"/>
    <x v="287"/>
    <x v="287"/>
    <x v="287"/>
    <x v="287"/>
  </r>
  <r>
    <n v="40.81"/>
    <n v="863.64"/>
    <n v="580.23"/>
    <n v="852.48"/>
    <n v="548.47"/>
    <n v="725.71"/>
    <n v="9244"/>
    <x v="2"/>
    <n v="3611.34"/>
    <n v="0.39066854175681526"/>
    <x v="288"/>
    <x v="288"/>
    <x v="288"/>
    <x v="288"/>
  </r>
  <r>
    <n v="225.69"/>
    <n v="971.12"/>
    <n v="357.07"/>
    <n v="932.19"/>
    <n v="165.56"/>
    <n v="307.39999999999998"/>
    <n v="7656"/>
    <x v="0"/>
    <n v="2959.0299999999997"/>
    <n v="0.386498171368861"/>
    <x v="289"/>
    <x v="289"/>
    <x v="289"/>
    <x v="289"/>
  </r>
  <r>
    <n v="138.83000000000001"/>
    <n v="389.62"/>
    <n v="804.53"/>
    <n v="587.20000000000005"/>
    <n v="436.57"/>
    <n v="95.75"/>
    <n v="5029"/>
    <x v="1"/>
    <n v="2452.5"/>
    <n v="0.48767150526943726"/>
    <x v="290"/>
    <x v="290"/>
    <x v="290"/>
    <x v="290"/>
  </r>
  <r>
    <n v="79.680000000000007"/>
    <n v="657.09"/>
    <n v="738.08"/>
    <n v="360.38"/>
    <n v="145.03"/>
    <n v="827.38"/>
    <n v="7617"/>
    <x v="0"/>
    <n v="2807.64"/>
    <n v="0.36860181173690426"/>
    <x v="291"/>
    <x v="291"/>
    <x v="291"/>
    <x v="291"/>
  </r>
  <r>
    <n v="594.84"/>
    <n v="79.44"/>
    <n v="172.14"/>
    <n v="622.86"/>
    <n v="795"/>
    <n v="909.79"/>
    <n v="7850"/>
    <x v="0"/>
    <n v="3174.0699999999997"/>
    <n v="0.40434012738853498"/>
    <x v="292"/>
    <x v="292"/>
    <x v="292"/>
    <x v="292"/>
  </r>
  <r>
    <n v="947.72"/>
    <n v="653.82000000000005"/>
    <n v="879.45"/>
    <n v="979.08"/>
    <n v="304.11"/>
    <n v="92.45"/>
    <n v="8366"/>
    <x v="0"/>
    <n v="3856.6299999999997"/>
    <n v="0.46098852498207027"/>
    <x v="293"/>
    <x v="293"/>
    <x v="293"/>
    <x v="293"/>
  </r>
  <r>
    <n v="708.03"/>
    <n v="846.72"/>
    <n v="425.3"/>
    <n v="555.71"/>
    <n v="208.48"/>
    <n v="144.38999999999999"/>
    <n v="6814"/>
    <x v="1"/>
    <n v="2888.63"/>
    <n v="0.42392574112122106"/>
    <x v="294"/>
    <x v="294"/>
    <x v="294"/>
    <x v="294"/>
  </r>
  <r>
    <n v="770.05"/>
    <n v="501.36"/>
    <n v="694.6"/>
    <n v="172.26"/>
    <n v="572.26"/>
    <n v="410.56"/>
    <n v="6851"/>
    <x v="1"/>
    <n v="3121.0899999999997"/>
    <n v="0.45556707050065681"/>
    <x v="295"/>
    <x v="295"/>
    <x v="295"/>
    <x v="295"/>
  </r>
  <r>
    <n v="512.38"/>
    <n v="250.83"/>
    <n v="373.78"/>
    <n v="366.95"/>
    <n v="987.14"/>
    <n v="509.03"/>
    <n v="6477"/>
    <x v="1"/>
    <n v="3000.1099999999997"/>
    <n v="0.46319438011425035"/>
    <x v="296"/>
    <x v="296"/>
    <x v="296"/>
    <x v="296"/>
  </r>
  <r>
    <n v="998.1"/>
    <n v="858.75"/>
    <n v="781.06"/>
    <n v="60.61"/>
    <n v="174.63"/>
    <n v="213.53"/>
    <n v="6949"/>
    <x v="1"/>
    <n v="3086.6800000000003"/>
    <n v="0.4441905310116564"/>
    <x v="297"/>
    <x v="297"/>
    <x v="297"/>
    <x v="297"/>
  </r>
  <r>
    <n v="322.35000000000002"/>
    <n v="681.22"/>
    <n v="640.29"/>
    <n v="343.65"/>
    <n v="534.22"/>
    <n v="648.71"/>
    <n v="7737"/>
    <x v="0"/>
    <n v="3170.4400000000005"/>
    <n v="0.40977639912110642"/>
    <x v="298"/>
    <x v="298"/>
    <x v="298"/>
    <x v="298"/>
  </r>
  <r>
    <n v="476.45"/>
    <n v="884.77"/>
    <n v="301.79000000000002"/>
    <n v="802.3"/>
    <n v="434.82"/>
    <n v="401.69"/>
    <n v="8187"/>
    <x v="0"/>
    <n v="3301.82"/>
    <n v="0.40330035422010507"/>
    <x v="299"/>
    <x v="299"/>
    <x v="299"/>
    <x v="2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281.42"/>
    <n v="538.79999999999995"/>
    <n v="123.94"/>
    <n v="349.3"/>
    <n v="242.77"/>
    <n v="910.1"/>
    <n v="7164"/>
    <x v="0"/>
    <n v="2446.33"/>
    <n v="0.34147543271915132"/>
    <n v="820.22"/>
    <n v="473.24"/>
    <n v="910.1"/>
    <n v="242.77"/>
    <n v="1293.46"/>
    <n v="1152.8700000000001"/>
  </r>
  <r>
    <n v="702.97"/>
    <n v="296.52999999999997"/>
    <n v="558.13"/>
    <n v="180.55"/>
    <n v="781.06"/>
    <n v="132.43"/>
    <n v="5055"/>
    <x v="1"/>
    <n v="2651.6699999999996"/>
    <n v="0.52456379821958454"/>
    <n v="999.5"/>
    <n v="738.68000000000006"/>
    <n v="132.43"/>
    <n v="781.06"/>
    <n v="1738.18"/>
    <n v="913.49"/>
  </r>
  <r>
    <n v="313.14"/>
    <n v="295.94"/>
    <n v="642.96"/>
    <n v="505.71"/>
    <n v="438.91"/>
    <n v="464.23"/>
    <n v="6154"/>
    <x v="1"/>
    <n v="2660.89"/>
    <n v="0.43238381540461485"/>
    <n v="609.07999999999993"/>
    <n v="1148.67"/>
    <n v="464.23"/>
    <n v="438.91"/>
    <n v="1757.75"/>
    <n v="903.1400000000001"/>
  </r>
  <r>
    <n v="898.52"/>
    <n v="61.27"/>
    <n v="548.73"/>
    <n v="240.93"/>
    <n v="278.95999999999998"/>
    <n v="432.27"/>
    <n v="5480"/>
    <x v="1"/>
    <n v="2460.6800000000003"/>
    <n v="0.44902919708029204"/>
    <n v="959.79"/>
    <n v="789.66000000000008"/>
    <n v="432.27"/>
    <n v="278.95999999999998"/>
    <n v="1749.45"/>
    <n v="711.23"/>
  </r>
  <r>
    <n v="766.52"/>
    <n v="550.72"/>
    <n v="651.91"/>
    <n v="666.33"/>
    <n v="396.33"/>
    <n v="841.93"/>
    <n v="9669"/>
    <x v="2"/>
    <n v="3873.74"/>
    <n v="0.40063501913331262"/>
    <n v="1317.24"/>
    <n v="1318.24"/>
    <n v="841.93"/>
    <n v="396.33"/>
    <n v="2635.48"/>
    <n v="1238.26"/>
  </r>
  <r>
    <n v="507.13"/>
    <n v="612.27"/>
    <n v="230.67"/>
    <n v="142.96"/>
    <n v="171.79"/>
    <n v="965.77"/>
    <n v="7627"/>
    <x v="0"/>
    <n v="2630.59"/>
    <n v="0.3449049429657795"/>
    <n v="1119.4000000000001"/>
    <n v="373.63"/>
    <n v="965.77"/>
    <n v="171.79"/>
    <n v="1493.0300000000002"/>
    <n v="1137.56"/>
  </r>
  <r>
    <n v="486.64"/>
    <n v="555.02"/>
    <n v="203.26"/>
    <n v="271.62"/>
    <n v="70.040000000000006"/>
    <n v="366.25"/>
    <n v="5177"/>
    <x v="1"/>
    <n v="1952.83"/>
    <n v="0.37721267143133086"/>
    <n v="1041.6599999999999"/>
    <n v="474.88"/>
    <n v="366.25"/>
    <n v="70.040000000000006"/>
    <n v="1516.54"/>
    <n v="436.29"/>
  </r>
  <r>
    <n v="762.09"/>
    <n v="184.57"/>
    <n v="176.61"/>
    <n v="97.85"/>
    <n v="116.67"/>
    <n v="251.74"/>
    <n v="3726"/>
    <x v="3"/>
    <n v="1589.53"/>
    <n v="0.42660493827160495"/>
    <n v="946.66000000000008"/>
    <n v="274.46000000000004"/>
    <n v="251.74"/>
    <n v="116.67"/>
    <n v="1221.1200000000001"/>
    <n v="368.41"/>
  </r>
  <r>
    <n v="638.6"/>
    <n v="778.31"/>
    <n v="796.32"/>
    <n v="759.04"/>
    <n v="857.13"/>
    <n v="515.16"/>
    <n v="9801"/>
    <x v="2"/>
    <n v="4344.5600000000004"/>
    <n v="0.44327721661054997"/>
    <n v="1416.9099999999999"/>
    <n v="1555.3600000000001"/>
    <n v="515.16"/>
    <n v="857.13"/>
    <n v="2972.27"/>
    <n v="1372.29"/>
  </r>
  <r>
    <n v="591.48"/>
    <n v="542.51"/>
    <n v="400.23"/>
    <n v="329.15"/>
    <n v="577.38"/>
    <n v="931.65"/>
    <n v="8652"/>
    <x v="0"/>
    <n v="3372.4"/>
    <n v="0.38978270920018493"/>
    <n v="1133.99"/>
    <n v="729.38"/>
    <n v="931.65"/>
    <n v="577.38"/>
    <n v="1863.37"/>
    <n v="1509.03"/>
  </r>
  <r>
    <n v="667.17"/>
    <n v="577.85"/>
    <n v="898.19"/>
    <n v="970.28"/>
    <n v="789.52"/>
    <n v="852.99"/>
    <n v="11210"/>
    <x v="2"/>
    <n v="4756"/>
    <n v="0.42426404995539696"/>
    <n v="1245.02"/>
    <n v="1868.47"/>
    <n v="852.99"/>
    <n v="789.52"/>
    <n v="3113.49"/>
    <n v="1642.51"/>
  </r>
  <r>
    <n v="787.33"/>
    <n v="947.73"/>
    <n v="884.15"/>
    <n v="992.3"/>
    <n v="871.55"/>
    <n v="742.36"/>
    <n v="12227"/>
    <x v="2"/>
    <n v="5225.42"/>
    <n v="0.42736730187290423"/>
    <n v="1735.06"/>
    <n v="1876.4499999999998"/>
    <n v="742.36"/>
    <n v="871.55"/>
    <n v="3611.5099999999998"/>
    <n v="1613.9099999999999"/>
  </r>
  <r>
    <n v="537.75"/>
    <n v="865.19"/>
    <n v="768.61"/>
    <n v="626.87"/>
    <n v="702.96"/>
    <n v="211.92"/>
    <n v="8093"/>
    <x v="0"/>
    <n v="3713.3"/>
    <n v="0.45882861732361302"/>
    <n v="1402.94"/>
    <n v="1395.48"/>
    <n v="211.92"/>
    <n v="702.96"/>
    <n v="2798.42"/>
    <n v="914.88"/>
  </r>
  <r>
    <n v="735.78"/>
    <n v="661.81"/>
    <n v="282"/>
    <n v="102.96"/>
    <n v="588.45000000000005"/>
    <n v="585.74"/>
    <n v="7181"/>
    <x v="0"/>
    <n v="2956.74"/>
    <n v="0.41174488232836648"/>
    <n v="1397.59"/>
    <n v="384.96"/>
    <n v="585.74"/>
    <n v="588.45000000000005"/>
    <n v="1782.55"/>
    <n v="1174.19"/>
  </r>
  <r>
    <n v="631.14"/>
    <n v="207.04"/>
    <n v="939.62"/>
    <n v="358.88"/>
    <n v="515.59"/>
    <n v="778.49"/>
    <n v="7910"/>
    <x v="0"/>
    <n v="3430.76"/>
    <n v="0.43372439949431102"/>
    <n v="838.18"/>
    <n v="1298.5"/>
    <n v="778.49"/>
    <n v="515.59"/>
    <n v="2136.6799999999998"/>
    <n v="1294.08"/>
  </r>
  <r>
    <n v="334.12"/>
    <n v="515.21"/>
    <n v="565.22"/>
    <n v="153.75"/>
    <n v="685.88"/>
    <n v="271.07"/>
    <n v="5337"/>
    <x v="1"/>
    <n v="2525.2500000000005"/>
    <n v="0.47315907813378311"/>
    <n v="849.33"/>
    <n v="718.97"/>
    <n v="271.07"/>
    <n v="685.88"/>
    <n v="1568.3000000000002"/>
    <n v="956.95"/>
  </r>
  <r>
    <n v="194.33"/>
    <n v="558.80999999999995"/>
    <n v="571.82000000000005"/>
    <n v="531.53"/>
    <n v="485.4"/>
    <n v="155.53"/>
    <n v="5468"/>
    <x v="1"/>
    <n v="2497.42"/>
    <n v="0.45673372348207758"/>
    <n v="753.14"/>
    <n v="1103.3499999999999"/>
    <n v="155.53"/>
    <n v="485.4"/>
    <n v="1856.4899999999998"/>
    <n v="640.92999999999995"/>
  </r>
  <r>
    <n v="955.97"/>
    <n v="890.21"/>
    <n v="343.96"/>
    <n v="609.33000000000004"/>
    <n v="62.99"/>
    <n v="307.14"/>
    <n v="7937"/>
    <x v="0"/>
    <n v="3169.5999999999995"/>
    <n v="0.39934484061988151"/>
    <n v="1846.18"/>
    <n v="953.29"/>
    <n v="307.14"/>
    <n v="62.99"/>
    <n v="2799.4700000000003"/>
    <n v="370.13"/>
  </r>
  <r>
    <n v="974.14"/>
    <n v="188.8"/>
    <n v="606.22"/>
    <n v="74.83"/>
    <n v="820.43"/>
    <n v="408.68"/>
    <n v="6228"/>
    <x v="1"/>
    <n v="3073.1"/>
    <n v="0.4934328837508028"/>
    <n v="1162.94"/>
    <n v="681.05000000000007"/>
    <n v="408.68"/>
    <n v="820.43"/>
    <n v="1843.9900000000002"/>
    <n v="1229.1099999999999"/>
  </r>
  <r>
    <n v="93.47"/>
    <n v="889.82"/>
    <n v="702.23"/>
    <n v="31.38"/>
    <n v="178.92"/>
    <n v="710.91"/>
    <n v="7026"/>
    <x v="0"/>
    <n v="2606.73"/>
    <n v="0.3710119555935098"/>
    <n v="983.29000000000008"/>
    <n v="733.61"/>
    <n v="710.91"/>
    <n v="178.92"/>
    <n v="1716.9"/>
    <n v="889.82999999999993"/>
  </r>
  <r>
    <n v="853.65"/>
    <n v="958.04"/>
    <n v="810.77"/>
    <n v="347.92"/>
    <n v="120.96"/>
    <n v="38.61"/>
    <n v="6966"/>
    <x v="1"/>
    <n v="3129.9500000000003"/>
    <n v="0.44931811656617859"/>
    <n v="1811.69"/>
    <n v="1158.69"/>
    <n v="38.61"/>
    <n v="120.96"/>
    <n v="2970.38"/>
    <n v="159.57"/>
  </r>
  <r>
    <n v="79.78"/>
    <n v="798.01"/>
    <n v="881.29"/>
    <n v="252.3"/>
    <n v="680.24"/>
    <n v="399.95"/>
    <n v="6929"/>
    <x v="1"/>
    <n v="3091.5699999999997"/>
    <n v="0.4461783807187184"/>
    <n v="877.79"/>
    <n v="1133.5899999999999"/>
    <n v="399.95"/>
    <n v="680.24"/>
    <n v="2011.3799999999999"/>
    <n v="1080.19"/>
  </r>
  <r>
    <n v="596.79999999999995"/>
    <n v="121.5"/>
    <n v="364.02"/>
    <n v="145.03"/>
    <n v="106.09"/>
    <n v="559.04999999999995"/>
    <n v="4830"/>
    <x v="3"/>
    <n v="1892.4899999999998"/>
    <n v="0.39181987577639749"/>
    <n v="718.3"/>
    <n v="509.04999999999995"/>
    <n v="559.04999999999995"/>
    <n v="106.09"/>
    <n v="1227.3499999999999"/>
    <n v="665.14"/>
  </r>
  <r>
    <n v="297.32"/>
    <n v="168.27"/>
    <n v="38.43"/>
    <n v="968.13"/>
    <n v="238.44"/>
    <n v="636.41999999999996"/>
    <n v="6425"/>
    <x v="1"/>
    <n v="2347.0100000000002"/>
    <n v="0.36529338521400784"/>
    <n v="465.59000000000003"/>
    <n v="1006.56"/>
    <n v="636.41999999999996"/>
    <n v="238.44"/>
    <n v="1472.15"/>
    <n v="874.8599999999999"/>
  </r>
  <r>
    <n v="189.51"/>
    <n v="659.44"/>
    <n v="775.37"/>
    <n v="895.59"/>
    <n v="760.58"/>
    <n v="581.76"/>
    <n v="9001"/>
    <x v="2"/>
    <n v="3862.25"/>
    <n v="0.4290912120875458"/>
    <n v="848.95"/>
    <n v="1670.96"/>
    <n v="581.76"/>
    <n v="760.58"/>
    <n v="2519.91"/>
    <n v="1342.3400000000001"/>
  </r>
  <r>
    <n v="732.71"/>
    <n v="585.45000000000005"/>
    <n v="540.89"/>
    <n v="695.95"/>
    <n v="227.02"/>
    <n v="633.09"/>
    <n v="8564"/>
    <x v="0"/>
    <n v="3415.11"/>
    <n v="0.39877510509107894"/>
    <n v="1318.16"/>
    <n v="1236.8400000000001"/>
    <n v="633.09"/>
    <n v="227.02"/>
    <n v="2555"/>
    <n v="860.11"/>
  </r>
  <r>
    <n v="214.34"/>
    <n v="283.19"/>
    <n v="654.88"/>
    <n v="855.9"/>
    <n v="0.77"/>
    <n v="145.27000000000001"/>
    <n v="5008"/>
    <x v="1"/>
    <n v="2154.35"/>
    <n v="0.43018170926517568"/>
    <n v="497.53"/>
    <n v="1510.78"/>
    <n v="145.27000000000001"/>
    <n v="0.77"/>
    <n v="2008.31"/>
    <n v="146.04000000000002"/>
  </r>
  <r>
    <n v="98.83"/>
    <n v="575.33000000000004"/>
    <n v="19.940000000000001"/>
    <n v="800.94"/>
    <n v="673.3"/>
    <n v="385.92"/>
    <n v="6306"/>
    <x v="1"/>
    <n v="2554.2600000000002"/>
    <n v="0.40505233111322553"/>
    <n v="674.16000000000008"/>
    <n v="820.88000000000011"/>
    <n v="385.92"/>
    <n v="673.3"/>
    <n v="1495.0400000000002"/>
    <n v="1059.22"/>
  </r>
  <r>
    <n v="179.73"/>
    <n v="692.17"/>
    <n v="973.09"/>
    <n v="580.05999999999995"/>
    <n v="271.49"/>
    <n v="129.04"/>
    <n v="6198"/>
    <x v="1"/>
    <n v="2825.58"/>
    <n v="0.45588576960309773"/>
    <n v="871.9"/>
    <n v="1553.15"/>
    <n v="129.04"/>
    <n v="271.49"/>
    <n v="2425.0500000000002"/>
    <n v="400.53"/>
  </r>
  <r>
    <n v="830.84"/>
    <n v="240.22"/>
    <n v="303.98"/>
    <n v="793.12"/>
    <n v="739.97"/>
    <n v="430.35"/>
    <n v="7423"/>
    <x v="0"/>
    <n v="3338.48"/>
    <n v="0.44974808029098745"/>
    <n v="1071.06"/>
    <n v="1097.0999999999999"/>
    <n v="430.35"/>
    <n v="739.97"/>
    <n v="2168.16"/>
    <n v="1170.3200000000002"/>
  </r>
  <r>
    <n v="439.57"/>
    <n v="566.54"/>
    <n v="184.38"/>
    <n v="526.25"/>
    <n v="120.21"/>
    <n v="269.41000000000003"/>
    <n v="5399"/>
    <x v="1"/>
    <n v="2106.3599999999997"/>
    <n v="0.39013891461381733"/>
    <n v="1006.1099999999999"/>
    <n v="710.63"/>
    <n v="269.41000000000003"/>
    <n v="120.21"/>
    <n v="1716.7399999999998"/>
    <n v="389.62"/>
  </r>
  <r>
    <n v="911.58"/>
    <n v="319"/>
    <n v="290.08"/>
    <n v="316.48"/>
    <n v="452.77"/>
    <n v="274.45"/>
    <n v="5654"/>
    <x v="1"/>
    <n v="2564.3599999999997"/>
    <n v="0.4535479306685532"/>
    <n v="1230.58"/>
    <n v="606.55999999999995"/>
    <n v="274.45"/>
    <n v="452.77"/>
    <n v="1837.1399999999999"/>
    <n v="727.22"/>
  </r>
  <r>
    <n v="862.97"/>
    <n v="656.05"/>
    <n v="337.34"/>
    <n v="834.98"/>
    <n v="827.64"/>
    <n v="308.37"/>
    <n v="8512"/>
    <x v="0"/>
    <n v="3827.35"/>
    <n v="0.44964168233082707"/>
    <n v="1519.02"/>
    <n v="1172.32"/>
    <n v="308.37"/>
    <n v="827.64"/>
    <n v="2691.34"/>
    <n v="1136.01"/>
  </r>
  <r>
    <n v="707.06"/>
    <n v="642.66"/>
    <n v="274.79000000000002"/>
    <n v="213.33"/>
    <n v="984.21"/>
    <n v="481.27"/>
    <n v="7383"/>
    <x v="0"/>
    <n v="3303.3199999999997"/>
    <n v="0.44742245699580113"/>
    <n v="1349.7199999999998"/>
    <n v="488.12"/>
    <n v="481.27"/>
    <n v="984.21"/>
    <n v="1837.8399999999997"/>
    <n v="1465.48"/>
  </r>
  <r>
    <n v="721.5"/>
    <n v="561.22"/>
    <n v="528.76"/>
    <n v="887.1"/>
    <n v="3.28"/>
    <n v="450.98"/>
    <n v="7949"/>
    <x v="0"/>
    <n v="3152.84"/>
    <n v="0.3966335388099132"/>
    <n v="1282.72"/>
    <n v="1415.8600000000001"/>
    <n v="450.98"/>
    <n v="3.28"/>
    <n v="2698.58"/>
    <n v="454.26"/>
  </r>
  <r>
    <n v="909.22"/>
    <n v="28.38"/>
    <n v="600.33000000000004"/>
    <n v="758"/>
    <n v="872.4"/>
    <n v="306.31"/>
    <n v="6987"/>
    <x v="1"/>
    <n v="3474.6400000000003"/>
    <n v="0.49730070130241882"/>
    <n v="937.6"/>
    <n v="1358.33"/>
    <n v="306.31"/>
    <n v="872.4"/>
    <n v="2295.9299999999998"/>
    <n v="1178.71"/>
  </r>
  <r>
    <n v="165.26"/>
    <n v="517.76"/>
    <n v="172.03"/>
    <n v="170.31"/>
    <n v="169.94"/>
    <n v="206.04"/>
    <n v="3600"/>
    <x v="3"/>
    <n v="1401.34"/>
    <n v="0.38926111111111111"/>
    <n v="683.02"/>
    <n v="342.34000000000003"/>
    <n v="206.04"/>
    <n v="169.94"/>
    <n v="1025.3600000000001"/>
    <n v="375.98"/>
  </r>
  <r>
    <n v="552.49"/>
    <n v="6.01"/>
    <n v="69.069999999999993"/>
    <n v="304.14999999999998"/>
    <n v="52.77"/>
    <n v="667.78"/>
    <n v="4720"/>
    <x v="3"/>
    <n v="1652.27"/>
    <n v="0.35005720338983048"/>
    <n v="558.5"/>
    <n v="373.21999999999997"/>
    <n v="667.78"/>
    <n v="52.77"/>
    <n v="931.72"/>
    <n v="720.55"/>
  </r>
  <r>
    <n v="922.68"/>
    <n v="467.72"/>
    <n v="871.4"/>
    <n v="664.95"/>
    <n v="827.6"/>
    <n v="385.17"/>
    <n v="8744"/>
    <x v="0"/>
    <n v="4139.5199999999995"/>
    <n v="0.47341262580054888"/>
    <n v="1390.4"/>
    <n v="1536.35"/>
    <n v="385.17"/>
    <n v="827.6"/>
    <n v="2926.75"/>
    <n v="1212.77"/>
  </r>
  <r>
    <n v="584.53"/>
    <n v="299.73"/>
    <n v="831.96"/>
    <n v="573.63"/>
    <n v="898.26"/>
    <n v="452.69"/>
    <n v="7636"/>
    <x v="0"/>
    <n v="3640.7999999999997"/>
    <n v="0.4767941330539549"/>
    <n v="884.26"/>
    <n v="1405.5900000000001"/>
    <n v="452.69"/>
    <n v="898.26"/>
    <n v="2289.8500000000004"/>
    <n v="1350.95"/>
  </r>
  <r>
    <n v="126.3"/>
    <n v="89.18"/>
    <n v="351.92"/>
    <n v="35.43"/>
    <n v="547.99"/>
    <n v="923.44"/>
    <n v="5487"/>
    <x v="1"/>
    <n v="2074.2600000000002"/>
    <n v="0.37803171131765995"/>
    <n v="215.48000000000002"/>
    <n v="387.35"/>
    <n v="923.44"/>
    <n v="547.99"/>
    <n v="602.83000000000004"/>
    <n v="1471.43"/>
  </r>
  <r>
    <n v="766.86"/>
    <n v="164.18"/>
    <n v="72.95"/>
    <n v="471.67"/>
    <n v="959.81"/>
    <n v="720.36"/>
    <n v="7316"/>
    <x v="0"/>
    <n v="3155.8300000000004"/>
    <n v="0.43136003280481144"/>
    <n v="931.04"/>
    <n v="544.62"/>
    <n v="720.36"/>
    <n v="959.81"/>
    <n v="1475.6599999999999"/>
    <n v="1680.17"/>
  </r>
  <r>
    <n v="532.28"/>
    <n v="795.59"/>
    <n v="192.91"/>
    <n v="298.49"/>
    <n v="836"/>
    <n v="825.6"/>
    <n v="8792"/>
    <x v="0"/>
    <n v="3480.87"/>
    <n v="0.39591333030027298"/>
    <n v="1327.87"/>
    <n v="491.4"/>
    <n v="825.6"/>
    <n v="836"/>
    <n v="1819.27"/>
    <n v="1661.6"/>
  </r>
  <r>
    <n v="573.64"/>
    <n v="196.64"/>
    <n v="802.07"/>
    <n v="109.31"/>
    <n v="351.06"/>
    <n v="902.89"/>
    <n v="7236"/>
    <x v="0"/>
    <n v="2935.6099999999997"/>
    <n v="0.40569513543394137"/>
    <n v="770.28"/>
    <n v="911.38000000000011"/>
    <n v="902.89"/>
    <n v="351.06"/>
    <n v="1681.66"/>
    <n v="1253.95"/>
  </r>
  <r>
    <n v="327.24"/>
    <n v="910.57"/>
    <n v="942.83"/>
    <n v="32.520000000000003"/>
    <n v="846.53"/>
    <n v="57.44"/>
    <n v="6136"/>
    <x v="1"/>
    <n v="3117.1299999999997"/>
    <n v="0.50800684485006509"/>
    <n v="1237.81"/>
    <n v="975.35"/>
    <n v="57.44"/>
    <n v="846.53"/>
    <n v="2213.16"/>
    <n v="903.97"/>
  </r>
  <r>
    <n v="748.8"/>
    <n v="526.25"/>
    <n v="144.97999999999999"/>
    <n v="624.03"/>
    <n v="117.05"/>
    <n v="987.58"/>
    <n v="8943"/>
    <x v="0"/>
    <n v="3148.69"/>
    <n v="0.35208431175220845"/>
    <n v="1275.05"/>
    <n v="769.01"/>
    <n v="987.58"/>
    <n v="117.05"/>
    <n v="2044.06"/>
    <n v="1104.6300000000001"/>
  </r>
  <r>
    <n v="847.61"/>
    <n v="700.94"/>
    <n v="349.72"/>
    <n v="155.25"/>
    <n v="811.17"/>
    <n v="170.85"/>
    <n v="6356"/>
    <x v="1"/>
    <n v="3035.5400000000004"/>
    <n v="0.47758653241032101"/>
    <n v="1548.5500000000002"/>
    <n v="504.97"/>
    <n v="170.85"/>
    <n v="811.17"/>
    <n v="2053.5200000000004"/>
    <n v="982.02"/>
  </r>
  <r>
    <n v="357.67"/>
    <n v="945.38"/>
    <n v="924.43"/>
    <n v="586.16999999999996"/>
    <n v="868.45"/>
    <n v="85.29"/>
    <n v="7806"/>
    <x v="0"/>
    <n v="3767.3900000000003"/>
    <n v="0.48262746605175511"/>
    <n v="1303.05"/>
    <n v="1510.6"/>
    <n v="85.29"/>
    <n v="868.45"/>
    <n v="2813.6499999999996"/>
    <n v="953.74"/>
  </r>
  <r>
    <n v="962.92"/>
    <n v="86.72"/>
    <n v="576.72"/>
    <n v="276.39"/>
    <n v="916.96"/>
    <n v="328.88"/>
    <n v="6153"/>
    <x v="1"/>
    <n v="3148.59"/>
    <n v="0.51171623598244764"/>
    <n v="1049.6399999999999"/>
    <n v="853.11"/>
    <n v="328.88"/>
    <n v="916.96"/>
    <n v="1902.75"/>
    <n v="1245.8400000000001"/>
  </r>
  <r>
    <n v="327.43"/>
    <n v="325.08999999999997"/>
    <n v="852.14"/>
    <n v="786.06"/>
    <n v="11.18"/>
    <n v="483.1"/>
    <n v="6809"/>
    <x v="1"/>
    <n v="2784.9999999999995"/>
    <n v="0.40901747686884998"/>
    <n v="652.52"/>
    <n v="1638.1999999999998"/>
    <n v="483.1"/>
    <n v="11.18"/>
    <n v="2290.7199999999998"/>
    <n v="494.28000000000003"/>
  </r>
  <r>
    <n v="637.84"/>
    <n v="191.38"/>
    <n v="629.57000000000005"/>
    <n v="470.89"/>
    <n v="241.79"/>
    <n v="270.87"/>
    <n v="5356"/>
    <x v="1"/>
    <n v="2442.3399999999997"/>
    <n v="0.45600074682598951"/>
    <n v="829.22"/>
    <n v="1100.46"/>
    <n v="270.87"/>
    <n v="241.79"/>
    <n v="1929.68"/>
    <n v="512.66"/>
  </r>
  <r>
    <n v="800.5"/>
    <n v="358.92"/>
    <n v="982.04"/>
    <n v="192.2"/>
    <n v="246.33"/>
    <n v="64.39"/>
    <n v="5182"/>
    <x v="1"/>
    <n v="2644.3799999999997"/>
    <n v="0.51030104206869931"/>
    <n v="1159.42"/>
    <n v="1174.24"/>
    <n v="64.39"/>
    <n v="246.33"/>
    <n v="2333.66"/>
    <n v="310.72000000000003"/>
  </r>
  <r>
    <n v="297.49"/>
    <n v="317.83999999999997"/>
    <n v="449.9"/>
    <n v="257.88"/>
    <n v="200.25"/>
    <n v="311.58999999999997"/>
    <n v="4373"/>
    <x v="3"/>
    <n v="1834.95"/>
    <n v="0.41960896409787335"/>
    <n v="615.32999999999993"/>
    <n v="707.78"/>
    <n v="311.58999999999997"/>
    <n v="200.25"/>
    <n v="1323.11"/>
    <n v="511.84"/>
  </r>
  <r>
    <n v="458.15"/>
    <n v="539.02"/>
    <n v="394.62"/>
    <n v="829"/>
    <n v="522.14"/>
    <n v="240.13"/>
    <n v="6779"/>
    <x v="1"/>
    <n v="2983.06"/>
    <n v="0.44004425431479566"/>
    <n v="997.17"/>
    <n v="1223.6199999999999"/>
    <n v="240.13"/>
    <n v="522.14"/>
    <n v="2220.79"/>
    <n v="762.27"/>
  </r>
  <r>
    <n v="187.95"/>
    <n v="912.23"/>
    <n v="337.43"/>
    <n v="206.61"/>
    <n v="47.44"/>
    <n v="616.45000000000005"/>
    <n v="6667"/>
    <x v="1"/>
    <n v="2308.1100000000006"/>
    <n v="0.34619919004049804"/>
    <n v="1100.18"/>
    <n v="544.04"/>
    <n v="616.45000000000005"/>
    <n v="47.44"/>
    <n v="1644.22"/>
    <n v="663.8900000000001"/>
  </r>
  <r>
    <n v="908.42"/>
    <n v="417.74"/>
    <n v="358.1"/>
    <n v="230.22"/>
    <n v="654.41999999999996"/>
    <n v="542.41999999999996"/>
    <n v="7124"/>
    <x v="0"/>
    <n v="3111.3199999999997"/>
    <n v="0.43673778775968553"/>
    <n v="1326.1599999999999"/>
    <n v="588.32000000000005"/>
    <n v="542.41999999999996"/>
    <n v="654.41999999999996"/>
    <n v="1914.48"/>
    <n v="1196.8399999999999"/>
  </r>
  <r>
    <n v="800.14"/>
    <n v="576.91999999999996"/>
    <n v="984.33"/>
    <n v="254.77"/>
    <n v="285.79000000000002"/>
    <n v="689.01"/>
    <n v="8554"/>
    <x v="0"/>
    <n v="3590.96"/>
    <n v="0.41979892447977557"/>
    <n v="1377.06"/>
    <n v="1239.1000000000001"/>
    <n v="689.01"/>
    <n v="285.79000000000002"/>
    <n v="2616.16"/>
    <n v="974.8"/>
  </r>
  <r>
    <n v="217.39"/>
    <n v="533.83000000000004"/>
    <n v="526.94000000000005"/>
    <n v="393.81"/>
    <n v="486.13"/>
    <n v="390.64"/>
    <n v="5957"/>
    <x v="1"/>
    <n v="2548.7399999999998"/>
    <n v="0.42785630350847736"/>
    <n v="751.22"/>
    <n v="920.75"/>
    <n v="390.64"/>
    <n v="486.13"/>
    <n v="1671.97"/>
    <n v="876.77"/>
  </r>
  <r>
    <n v="236.29"/>
    <n v="335.11"/>
    <n v="480.23"/>
    <n v="555.73"/>
    <n v="527.03"/>
    <n v="71.12"/>
    <n v="4499"/>
    <x v="3"/>
    <n v="2205.5100000000002"/>
    <n v="0.4902222716159147"/>
    <n v="571.4"/>
    <n v="1035.96"/>
    <n v="71.12"/>
    <n v="527.03"/>
    <n v="1607.3600000000001"/>
    <n v="598.15"/>
  </r>
  <r>
    <n v="966.65"/>
    <n v="20.64"/>
    <n v="439.86"/>
    <n v="496.81"/>
    <n v="282.27"/>
    <n v="595.38"/>
    <n v="6598"/>
    <x v="1"/>
    <n v="2801.61"/>
    <n v="0.42461503485904822"/>
    <n v="987.29"/>
    <n v="936.67000000000007"/>
    <n v="595.38"/>
    <n v="282.27"/>
    <n v="1923.96"/>
    <n v="877.65"/>
  </r>
  <r>
    <n v="946.68"/>
    <n v="429.45"/>
    <n v="603.51"/>
    <n v="910.23"/>
    <n v="479.18"/>
    <n v="902.26"/>
    <n v="10543"/>
    <x v="2"/>
    <n v="4271.3099999999995"/>
    <n v="0.40513231528028071"/>
    <n v="1376.1299999999999"/>
    <n v="1513.74"/>
    <n v="902.26"/>
    <n v="479.18"/>
    <n v="2889.87"/>
    <n v="1381.44"/>
  </r>
  <r>
    <n v="480.33"/>
    <n v="386.61"/>
    <n v="926.8"/>
    <n v="901.98"/>
    <n v="559.91"/>
    <n v="949.15"/>
    <n v="10223"/>
    <x v="2"/>
    <n v="4204.78"/>
    <n v="0.4113058789005184"/>
    <n v="866.94"/>
    <n v="1828.78"/>
    <n v="949.15"/>
    <n v="559.91"/>
    <n v="2695.7200000000003"/>
    <n v="1509.06"/>
  </r>
  <r>
    <n v="107.84"/>
    <n v="373.19"/>
    <n v="502.84"/>
    <n v="407.08"/>
    <n v="628.77"/>
    <n v="185.25"/>
    <n v="4593"/>
    <x v="3"/>
    <n v="2204.9699999999998"/>
    <n v="0.48007184846505546"/>
    <n v="481.03"/>
    <n v="909.92"/>
    <n v="185.25"/>
    <n v="628.77"/>
    <n v="1390.9499999999998"/>
    <n v="814.02"/>
  </r>
  <r>
    <n v="929.58"/>
    <n v="532.21"/>
    <n v="736.11"/>
    <n v="557.15"/>
    <n v="775.83"/>
    <n v="206.43"/>
    <n v="7723"/>
    <x v="0"/>
    <n v="3737.31"/>
    <n v="0.4839194613492166"/>
    <n v="1461.79"/>
    <n v="1293.26"/>
    <n v="206.43"/>
    <n v="775.83"/>
    <n v="2755.05"/>
    <n v="982.26"/>
  </r>
  <r>
    <n v="773.82"/>
    <n v="831.53"/>
    <n v="960.7"/>
    <n v="353.72"/>
    <n v="394.54"/>
    <n v="192.38"/>
    <n v="7611"/>
    <x v="0"/>
    <n v="3506.6900000000005"/>
    <n v="0.46073971882801218"/>
    <n v="1605.35"/>
    <n v="1314.42"/>
    <n v="192.38"/>
    <n v="394.54"/>
    <n v="2919.77"/>
    <n v="586.92000000000007"/>
  </r>
  <r>
    <n v="367.73"/>
    <n v="824.44"/>
    <n v="566.91"/>
    <n v="767.46"/>
    <n v="781.79"/>
    <n v="327.23"/>
    <n v="8216"/>
    <x v="0"/>
    <n v="3635.56"/>
    <n v="0.44249756572541382"/>
    <n v="1192.17"/>
    <n v="1334.37"/>
    <n v="327.23"/>
    <n v="781.79"/>
    <n v="2526.54"/>
    <n v="1109.02"/>
  </r>
  <r>
    <n v="226.6"/>
    <n v="11"/>
    <n v="71.349999999999994"/>
    <n v="11.69"/>
    <n v="485.85"/>
    <n v="791.91"/>
    <n v="4384"/>
    <x v="3"/>
    <n v="1598.4"/>
    <n v="0.36459854014598542"/>
    <n v="237.6"/>
    <n v="83.039999999999992"/>
    <n v="791.91"/>
    <n v="485.85"/>
    <n v="320.64"/>
    <n v="1277.76"/>
  </r>
  <r>
    <n v="576.73"/>
    <n v="756.33"/>
    <n v="87.96"/>
    <n v="369.57"/>
    <n v="223.6"/>
    <n v="914.72"/>
    <n v="8421"/>
    <x v="0"/>
    <n v="2928.91"/>
    <n v="0.34781023631397695"/>
    <n v="1333.06"/>
    <n v="457.53"/>
    <n v="914.72"/>
    <n v="223.6"/>
    <n v="1790.59"/>
    <n v="1138.32"/>
  </r>
  <r>
    <n v="4.95"/>
    <n v="667.51"/>
    <n v="14.86"/>
    <n v="873.18"/>
    <n v="825.37"/>
    <n v="510.47"/>
    <n v="7236"/>
    <x v="0"/>
    <n v="2896.34"/>
    <n v="0.40026810392482037"/>
    <n v="672.46"/>
    <n v="888.04"/>
    <n v="510.47"/>
    <n v="825.37"/>
    <n v="1560.5"/>
    <n v="1335.8400000000001"/>
  </r>
  <r>
    <n v="976.88"/>
    <n v="832.08"/>
    <n v="79.47"/>
    <n v="619.22"/>
    <n v="368.12"/>
    <n v="260.66000000000003"/>
    <n v="7584"/>
    <x v="0"/>
    <n v="3136.43"/>
    <n v="0.41355880801687761"/>
    <n v="1808.96"/>
    <n v="698.69"/>
    <n v="260.66000000000003"/>
    <n v="368.12"/>
    <n v="2507.65"/>
    <n v="628.78"/>
  </r>
  <r>
    <n v="402.63"/>
    <n v="638.9"/>
    <n v="236.86"/>
    <n v="917.84"/>
    <n v="105.81"/>
    <n v="859.22"/>
    <n v="8925"/>
    <x v="0"/>
    <n v="3161.26"/>
    <n v="0.35420280112044822"/>
    <n v="1041.53"/>
    <n v="1154.7"/>
    <n v="859.22"/>
    <n v="105.81"/>
    <n v="2196.23"/>
    <n v="965.03"/>
  </r>
  <r>
    <n v="254.3"/>
    <n v="526.4"/>
    <n v="448.11"/>
    <n v="694.84"/>
    <n v="176.67"/>
    <n v="928.28"/>
    <n v="8428"/>
    <x v="0"/>
    <n v="3028.6000000000004"/>
    <n v="0.35934978642619841"/>
    <n v="780.7"/>
    <n v="1142.95"/>
    <n v="928.28"/>
    <n v="176.67"/>
    <n v="1923.65"/>
    <n v="1104.95"/>
  </r>
  <r>
    <n v="211.37"/>
    <n v="925.49"/>
    <n v="614.64"/>
    <n v="918.84"/>
    <n v="695.52"/>
    <n v="599.91"/>
    <n v="9658"/>
    <x v="2"/>
    <n v="3965.77"/>
    <n v="0.41062021122385589"/>
    <n v="1136.8600000000001"/>
    <n v="1533.48"/>
    <n v="599.91"/>
    <n v="695.52"/>
    <n v="2670.34"/>
    <n v="1295.4299999999998"/>
  </r>
  <r>
    <n v="579.98"/>
    <n v="330.09"/>
    <n v="787.75"/>
    <n v="438.44"/>
    <n v="193.77"/>
    <n v="257"/>
    <n v="5688"/>
    <x v="1"/>
    <n v="2587.0299999999997"/>
    <n v="0.45482243319268634"/>
    <n v="910.06999999999994"/>
    <n v="1226.19"/>
    <n v="257"/>
    <n v="193.77"/>
    <n v="2136.2600000000002"/>
    <n v="450.77"/>
  </r>
  <r>
    <n v="306.18"/>
    <n v="137.08000000000001"/>
    <n v="549.85"/>
    <n v="725.44"/>
    <n v="890.43"/>
    <n v="381.03"/>
    <n v="6245"/>
    <x v="1"/>
    <n v="2990.01"/>
    <n v="0.47878462770216179"/>
    <n v="443.26"/>
    <n v="1275.29"/>
    <n v="381.03"/>
    <n v="890.43"/>
    <n v="1718.55"/>
    <n v="1271.46"/>
  </r>
  <r>
    <n v="592.24"/>
    <n v="73.400000000000006"/>
    <n v="847.47"/>
    <n v="595.24"/>
    <n v="721.16"/>
    <n v="931.95"/>
    <n v="8744"/>
    <x v="0"/>
    <n v="3761.46"/>
    <n v="0.43017612076852701"/>
    <n v="665.64"/>
    <n v="1442.71"/>
    <n v="931.95"/>
    <n v="721.16"/>
    <n v="2108.35"/>
    <n v="1653.1100000000001"/>
  </r>
  <r>
    <n v="503.08"/>
    <n v="875.25"/>
    <n v="57.35"/>
    <n v="837.4"/>
    <n v="49.45"/>
    <n v="493.39"/>
    <n v="7838"/>
    <x v="0"/>
    <n v="2815.9199999999996"/>
    <n v="0.35926511865271749"/>
    <n v="1378.33"/>
    <n v="894.75"/>
    <n v="493.39"/>
    <n v="49.45"/>
    <n v="2273.08"/>
    <n v="542.84"/>
  </r>
  <r>
    <n v="628.35"/>
    <n v="943.41"/>
    <n v="461.31"/>
    <n v="162.85"/>
    <n v="344.75"/>
    <n v="318.33"/>
    <n v="6860"/>
    <x v="1"/>
    <n v="2859"/>
    <n v="0.41676384839650144"/>
    <n v="1571.76"/>
    <n v="624.16"/>
    <n v="318.33"/>
    <n v="344.75"/>
    <n v="2195.92"/>
    <n v="663.07999999999993"/>
  </r>
  <r>
    <n v="344.11"/>
    <n v="179.19"/>
    <n v="30.19"/>
    <n v="535.22"/>
    <n v="118.13"/>
    <n v="353.31"/>
    <n v="4151"/>
    <x v="3"/>
    <n v="1560.15"/>
    <n v="0.37584919296555047"/>
    <n v="523.29999999999995"/>
    <n v="565.41000000000008"/>
    <n v="353.31"/>
    <n v="118.13"/>
    <n v="1088.71"/>
    <n v="471.44"/>
  </r>
  <r>
    <n v="814.57"/>
    <n v="795.23"/>
    <n v="539.03"/>
    <n v="630.16"/>
    <n v="150.16999999999999"/>
    <n v="378.63"/>
    <n v="8099"/>
    <x v="0"/>
    <n v="3307.79"/>
    <n v="0.40841955797011975"/>
    <n v="1609.8000000000002"/>
    <n v="1169.19"/>
    <n v="378.63"/>
    <n v="150.16999999999999"/>
    <n v="2778.9900000000002"/>
    <n v="528.79999999999995"/>
  </r>
  <r>
    <n v="275.45999999999998"/>
    <n v="334.21"/>
    <n v="974.15"/>
    <n v="657.96"/>
    <n v="338.91"/>
    <n v="501.63"/>
    <n v="7087"/>
    <x v="0"/>
    <n v="3082.3199999999997"/>
    <n v="0.43492592069987296"/>
    <n v="609.66999999999996"/>
    <n v="1632.1100000000001"/>
    <n v="501.63"/>
    <n v="338.91"/>
    <n v="2241.7800000000002"/>
    <n v="840.54"/>
  </r>
  <r>
    <n v="516.34"/>
    <n v="682.94"/>
    <n v="670.66"/>
    <n v="593.97"/>
    <n v="665.91"/>
    <n v="237.67"/>
    <n v="7321"/>
    <x v="0"/>
    <n v="3367.49"/>
    <n v="0.4599767791285343"/>
    <n v="1199.2800000000002"/>
    <n v="1264.6300000000001"/>
    <n v="237.67"/>
    <n v="665.91"/>
    <n v="2463.9100000000003"/>
    <n v="903.57999999999993"/>
  </r>
  <r>
    <n v="438.1"/>
    <n v="556.71"/>
    <n v="823.93"/>
    <n v="362.43"/>
    <n v="576.67999999999995"/>
    <n v="19.489999999999998"/>
    <n v="5453"/>
    <x v="1"/>
    <n v="2777.3399999999997"/>
    <n v="0.50932330827067662"/>
    <n v="994.81000000000006"/>
    <n v="1186.3599999999999"/>
    <n v="19.489999999999998"/>
    <n v="576.67999999999995"/>
    <n v="2181.17"/>
    <n v="596.16999999999996"/>
  </r>
  <r>
    <n v="309.23"/>
    <n v="254.62"/>
    <n v="616.46"/>
    <n v="888.42"/>
    <n v="216.48"/>
    <n v="901.14"/>
    <n v="8380"/>
    <x v="0"/>
    <n v="3186.35"/>
    <n v="0.38023269689737471"/>
    <n v="563.85"/>
    <n v="1504.88"/>
    <n v="901.14"/>
    <n v="216.48"/>
    <n v="2068.73"/>
    <n v="1117.6199999999999"/>
  </r>
  <r>
    <n v="280.45999999999998"/>
    <n v="676.19"/>
    <n v="729.46"/>
    <n v="539.74"/>
    <n v="548.07000000000005"/>
    <n v="324.89999999999998"/>
    <n v="6984"/>
    <x v="1"/>
    <n v="3098.8200000000006"/>
    <n v="0.44370274914089358"/>
    <n v="956.65000000000009"/>
    <n v="1269.2"/>
    <n v="324.89999999999998"/>
    <n v="548.07000000000005"/>
    <n v="2225.8500000000004"/>
    <n v="872.97"/>
  </r>
  <r>
    <n v="627.1"/>
    <n v="520.53"/>
    <n v="461.58"/>
    <n v="646.87"/>
    <n v="999.79"/>
    <n v="681.44"/>
    <n v="9037"/>
    <x v="2"/>
    <n v="3937.31"/>
    <n v="0.43568772822839436"/>
    <n v="1147.6300000000001"/>
    <n v="1108.45"/>
    <n v="681.44"/>
    <n v="999.79"/>
    <n v="2256.08"/>
    <n v="1681.23"/>
  </r>
  <r>
    <n v="472.66"/>
    <n v="288.52999999999997"/>
    <n v="836.27"/>
    <n v="679.08"/>
    <n v="490.43"/>
    <n v="294"/>
    <n v="6525"/>
    <x v="1"/>
    <n v="3060.97"/>
    <n v="0.46911417624521068"/>
    <n v="761.19"/>
    <n v="1515.35"/>
    <n v="294"/>
    <n v="490.43"/>
    <n v="2276.54"/>
    <n v="784.43000000000006"/>
  </r>
  <r>
    <n v="484.3"/>
    <n v="857.63"/>
    <n v="969.6"/>
    <n v="50.03"/>
    <n v="807.26"/>
    <n v="22.11"/>
    <n v="6184"/>
    <x v="1"/>
    <n v="3190.9300000000007"/>
    <n v="0.5159977360931437"/>
    <n v="1341.93"/>
    <n v="1019.63"/>
    <n v="22.11"/>
    <n v="807.26"/>
    <n v="2361.56"/>
    <n v="829.37"/>
  </r>
  <r>
    <n v="253.65"/>
    <n v="51.38"/>
    <n v="417.09"/>
    <n v="689.61"/>
    <n v="885.97"/>
    <n v="74.930000000000007"/>
    <n v="4368"/>
    <x v="3"/>
    <n v="2372.6299999999997"/>
    <n v="0.54318452380952376"/>
    <n v="305.03000000000003"/>
    <n v="1106.7"/>
    <n v="74.930000000000007"/>
    <n v="885.97"/>
    <n v="1411.73"/>
    <n v="960.90000000000009"/>
  </r>
  <r>
    <n v="564.09"/>
    <n v="321.14999999999998"/>
    <n v="590.16"/>
    <n v="161.65"/>
    <n v="109.3"/>
    <n v="776.77"/>
    <n v="6603"/>
    <x v="1"/>
    <n v="2523.12"/>
    <n v="0.38211721944570648"/>
    <n v="885.24"/>
    <n v="751.81"/>
    <n v="776.77"/>
    <n v="109.3"/>
    <n v="1637.05"/>
    <n v="886.06999999999994"/>
  </r>
  <r>
    <n v="154.83000000000001"/>
    <n v="302.06"/>
    <n v="911.95"/>
    <n v="100.35"/>
    <n v="143.65"/>
    <n v="623.62"/>
    <n v="5519"/>
    <x v="1"/>
    <n v="2236.46"/>
    <n v="0.4052292081898895"/>
    <n v="456.89"/>
    <n v="1012.3000000000001"/>
    <n v="623.62"/>
    <n v="143.65"/>
    <n v="1469.19"/>
    <n v="767.27"/>
  </r>
  <r>
    <n v="909.36"/>
    <n v="487.33"/>
    <n v="344.62"/>
    <n v="285.48"/>
    <n v="91.26"/>
    <n v="926.73"/>
    <n v="8320"/>
    <x v="0"/>
    <n v="3044.78"/>
    <n v="0.36595913461538465"/>
    <n v="1396.69"/>
    <n v="630.1"/>
    <n v="926.73"/>
    <n v="91.26"/>
    <n v="2026.79"/>
    <n v="1017.99"/>
  </r>
  <r>
    <n v="867.51"/>
    <n v="932.27"/>
    <n v="148.9"/>
    <n v="373.02"/>
    <n v="570.23"/>
    <n v="531.79"/>
    <n v="8504"/>
    <x v="0"/>
    <n v="3423.72"/>
    <n v="0.40260112888052679"/>
    <n v="1799.78"/>
    <n v="521.91999999999996"/>
    <n v="531.79"/>
    <n v="570.23"/>
    <n v="2321.6999999999998"/>
    <n v="1102.02"/>
  </r>
  <r>
    <n v="992.99"/>
    <n v="831.97"/>
    <n v="982.63"/>
    <n v="361.36"/>
    <n v="331.65"/>
    <n v="574.97"/>
    <n v="9553"/>
    <x v="2"/>
    <n v="4075.5700000000006"/>
    <n v="0.42662723751701043"/>
    <n v="1824.96"/>
    <n v="1343.99"/>
    <n v="574.97"/>
    <n v="331.65"/>
    <n v="3168.95"/>
    <n v="906.62"/>
  </r>
  <r>
    <n v="331.82"/>
    <n v="175.46"/>
    <n v="763.6"/>
    <n v="352.17"/>
    <n v="256.97000000000003"/>
    <n v="372.7"/>
    <n v="5019"/>
    <x v="1"/>
    <n v="2252.7200000000003"/>
    <n v="0.44883841402669861"/>
    <n v="507.28"/>
    <n v="1115.77"/>
    <n v="372.7"/>
    <n v="256.97000000000003"/>
    <n v="1623.05"/>
    <n v="629.67000000000007"/>
  </r>
  <r>
    <n v="479.95"/>
    <n v="842.11"/>
    <n v="196.97"/>
    <n v="595.41"/>
    <n v="883.59"/>
    <n v="337.1"/>
    <n v="7677"/>
    <x v="0"/>
    <n v="3335.13"/>
    <n v="0.43443141852286049"/>
    <n v="1322.06"/>
    <n v="792.38"/>
    <n v="337.1"/>
    <n v="883.59"/>
    <n v="2114.44"/>
    <n v="1220.69"/>
  </r>
  <r>
    <n v="788.17"/>
    <n v="825.42"/>
    <n v="912.89"/>
    <n v="235.03"/>
    <n v="938.7"/>
    <n v="907.57"/>
    <n v="10763"/>
    <x v="2"/>
    <n v="4607.78"/>
    <n v="0.42811297965251321"/>
    <n v="1613.59"/>
    <n v="1147.92"/>
    <n v="907.57"/>
    <n v="938.7"/>
    <n v="2761.51"/>
    <n v="1846.27"/>
  </r>
  <r>
    <n v="540.69000000000005"/>
    <n v="326.95"/>
    <n v="362.71"/>
    <n v="597.94000000000005"/>
    <n v="255.6"/>
    <n v="635.29999999999995"/>
    <n v="6959"/>
    <x v="1"/>
    <n v="2719.1900000000005"/>
    <n v="0.39074435982181355"/>
    <n v="867.6400000000001"/>
    <n v="960.65000000000009"/>
    <n v="635.29999999999995"/>
    <n v="255.6"/>
    <n v="1828.2900000000002"/>
    <n v="890.9"/>
  </r>
  <r>
    <n v="679.14"/>
    <n v="447.24"/>
    <n v="395.3"/>
    <n v="421.19"/>
    <n v="565.17999999999995"/>
    <n v="169.63"/>
    <n v="5692"/>
    <x v="1"/>
    <n v="2677.6800000000003"/>
    <n v="0.47042867182009845"/>
    <n v="1126.3800000000001"/>
    <n v="816.49"/>
    <n v="169.63"/>
    <n v="565.17999999999995"/>
    <n v="1942.8700000000001"/>
    <n v="734.81"/>
  </r>
  <r>
    <n v="283.57"/>
    <n v="358.42"/>
    <n v="213.66"/>
    <n v="29.11"/>
    <n v="622.67999999999995"/>
    <n v="90.42"/>
    <n v="3141"/>
    <x v="3"/>
    <n v="1597.8600000000001"/>
    <n v="0.5087106017191978"/>
    <n v="641.99"/>
    <n v="242.76999999999998"/>
    <n v="90.42"/>
    <n v="622.67999999999995"/>
    <n v="884.76"/>
    <n v="713.09999999999991"/>
  </r>
  <r>
    <n v="751.82"/>
    <n v="145.44"/>
    <n v="471.13"/>
    <n v="744.64"/>
    <n v="534.30999999999995"/>
    <n v="809.25"/>
    <n v="8387"/>
    <x v="0"/>
    <n v="3456.5899999999997"/>
    <n v="0.41213664003815426"/>
    <n v="897.26"/>
    <n v="1215.77"/>
    <n v="809.25"/>
    <n v="534.30999999999995"/>
    <n v="2113.0299999999997"/>
    <n v="1343.56"/>
  </r>
  <r>
    <n v="835.52"/>
    <n v="315.69"/>
    <n v="142.37"/>
    <n v="764.15"/>
    <n v="563.82000000000005"/>
    <n v="833.02"/>
    <n v="8760"/>
    <x v="0"/>
    <n v="3454.57"/>
    <n v="0.3943573059360731"/>
    <n v="1151.21"/>
    <n v="906.52"/>
    <n v="833.02"/>
    <n v="563.82000000000005"/>
    <n v="2057.73"/>
    <n v="1396.8400000000001"/>
  </r>
  <r>
    <n v="5.77"/>
    <n v="169.34"/>
    <n v="725.49"/>
    <n v="477.59"/>
    <n v="363.65"/>
    <n v="429.3"/>
    <n v="4945"/>
    <x v="3"/>
    <n v="2171.1400000000003"/>
    <n v="0.43905763397371089"/>
    <n v="175.11"/>
    <n v="1203.08"/>
    <n v="429.3"/>
    <n v="363.65"/>
    <n v="1378.19"/>
    <n v="792.95"/>
  </r>
  <r>
    <n v="322"/>
    <n v="605.12"/>
    <n v="47.46"/>
    <n v="531.5"/>
    <n v="839.57"/>
    <n v="694.12"/>
    <n v="7639"/>
    <x v="0"/>
    <n v="3039.77"/>
    <n v="0.39792773923288388"/>
    <n v="927.12"/>
    <n v="578.96"/>
    <n v="694.12"/>
    <n v="839.57"/>
    <n v="1506.08"/>
    <n v="1533.69"/>
  </r>
  <r>
    <n v="927.85"/>
    <n v="609.14"/>
    <n v="185.13"/>
    <n v="117.63"/>
    <n v="326.14999999999998"/>
    <n v="685.77"/>
    <n v="7395"/>
    <x v="0"/>
    <n v="2851.67"/>
    <n v="0.3856213657876944"/>
    <n v="1536.99"/>
    <n v="302.76"/>
    <n v="685.77"/>
    <n v="326.14999999999998"/>
    <n v="1839.75"/>
    <n v="1011.92"/>
  </r>
  <r>
    <n v="142.99"/>
    <n v="644.11"/>
    <n v="93.04"/>
    <n v="221.03"/>
    <n v="547.35"/>
    <n v="968.01"/>
    <n v="7430"/>
    <x v="0"/>
    <n v="2616.5299999999997"/>
    <n v="0.352157469717362"/>
    <n v="787.1"/>
    <n v="314.07"/>
    <n v="968.01"/>
    <n v="547.35"/>
    <n v="1101.17"/>
    <n v="1515.3600000000001"/>
  </r>
  <r>
    <n v="196.22"/>
    <n v="945.14"/>
    <n v="807.19"/>
    <n v="314.81"/>
    <n v="691.84"/>
    <n v="293.48"/>
    <n v="7219"/>
    <x v="0"/>
    <n v="3248.6800000000003"/>
    <n v="0.45001800803435382"/>
    <n v="1141.3599999999999"/>
    <n v="1122"/>
    <n v="293.48"/>
    <n v="691.84"/>
    <n v="2263.3599999999997"/>
    <n v="985.32"/>
  </r>
  <r>
    <n v="204.8"/>
    <n v="416.06"/>
    <n v="743.94"/>
    <n v="884.94"/>
    <n v="11.75"/>
    <n v="750.43"/>
    <n v="8000"/>
    <x v="0"/>
    <n v="3011.92"/>
    <n v="0.37648999999999999"/>
    <n v="620.86"/>
    <n v="1628.88"/>
    <n v="750.43"/>
    <n v="11.75"/>
    <n v="2249.7400000000002"/>
    <n v="762.18"/>
  </r>
  <r>
    <n v="899.43"/>
    <n v="712.96"/>
    <n v="760.18"/>
    <n v="762.53"/>
    <n v="75.72"/>
    <n v="378.28"/>
    <n v="8576"/>
    <x v="0"/>
    <n v="3589.0999999999995"/>
    <n v="0.41850513059701488"/>
    <n v="1612.3899999999999"/>
    <n v="1522.71"/>
    <n v="378.28"/>
    <n v="75.72"/>
    <n v="3135.1"/>
    <n v="454"/>
  </r>
  <r>
    <n v="204.63"/>
    <n v="624.34"/>
    <n v="566.30999999999995"/>
    <n v="379.17"/>
    <n v="952.84"/>
    <n v="786.09"/>
    <n v="8368"/>
    <x v="0"/>
    <n v="3513.38"/>
    <n v="0.41985898661567878"/>
    <n v="828.97"/>
    <n v="945.48"/>
    <n v="786.09"/>
    <n v="952.84"/>
    <n v="1774.45"/>
    <n v="1738.93"/>
  </r>
  <r>
    <n v="100.6"/>
    <n v="606.54999999999995"/>
    <n v="88.07"/>
    <n v="681.03"/>
    <n v="251.5"/>
    <n v="68.650000000000006"/>
    <n v="4427"/>
    <x v="3"/>
    <n v="1796.4"/>
    <n v="0.40578269708606279"/>
    <n v="707.15"/>
    <n v="769.09999999999991"/>
    <n v="68.650000000000006"/>
    <n v="251.5"/>
    <n v="1476.25"/>
    <n v="320.14999999999998"/>
  </r>
  <r>
    <n v="837.69"/>
    <n v="633.04"/>
    <n v="348.36"/>
    <n v="48.06"/>
    <n v="649.55999999999995"/>
    <n v="834.14"/>
    <n v="8332"/>
    <x v="0"/>
    <n v="3350.85"/>
    <n v="0.40216634661545847"/>
    <n v="1470.73"/>
    <n v="396.42"/>
    <n v="834.14"/>
    <n v="649.55999999999995"/>
    <n v="1867.15"/>
    <n v="1483.6999999999998"/>
  </r>
  <r>
    <n v="319.67"/>
    <n v="510.24"/>
    <n v="421.67"/>
    <n v="851.19"/>
    <n v="21.56"/>
    <n v="377.89"/>
    <n v="6473"/>
    <x v="1"/>
    <n v="2502.2200000000003"/>
    <n v="0.38656264483238068"/>
    <n v="829.91000000000008"/>
    <n v="1272.8600000000001"/>
    <n v="377.89"/>
    <n v="21.56"/>
    <n v="2102.7700000000004"/>
    <n v="399.45"/>
  </r>
  <r>
    <n v="481.36"/>
    <n v="142.47999999999999"/>
    <n v="493.66"/>
    <n v="588.1"/>
    <n v="784.36"/>
    <n v="814.73"/>
    <n v="7803"/>
    <x v="0"/>
    <n v="3304.69"/>
    <n v="0.42351531462258107"/>
    <n v="623.84"/>
    <n v="1081.76"/>
    <n v="814.73"/>
    <n v="784.36"/>
    <n v="1705.6"/>
    <n v="1599.0900000000001"/>
  </r>
  <r>
    <n v="632.14"/>
    <n v="332.75"/>
    <n v="875.67"/>
    <n v="63.47"/>
    <n v="979.73"/>
    <n v="85.44"/>
    <n v="5255"/>
    <x v="1"/>
    <n v="2969.2000000000003"/>
    <n v="0.56502378686964805"/>
    <n v="964.89"/>
    <n v="939.14"/>
    <n v="85.44"/>
    <n v="979.73"/>
    <n v="1904.03"/>
    <n v="1065.17"/>
  </r>
  <r>
    <n v="791.08"/>
    <n v="238.26"/>
    <n v="369.8"/>
    <n v="199.95"/>
    <n v="378.52"/>
    <n v="285.02"/>
    <n v="4941"/>
    <x v="3"/>
    <n v="2262.63"/>
    <n v="0.45792956891317549"/>
    <n v="1029.3400000000001"/>
    <n v="569.75"/>
    <n v="285.02"/>
    <n v="378.52"/>
    <n v="1599.0900000000001"/>
    <n v="663.54"/>
  </r>
  <r>
    <n v="747.35"/>
    <n v="261.12"/>
    <n v="37.92"/>
    <n v="934.6"/>
    <n v="770.3"/>
    <n v="710.22"/>
    <n v="8425"/>
    <x v="0"/>
    <n v="3461.51"/>
    <n v="0.41086172106824931"/>
    <n v="1008.47"/>
    <n v="972.52"/>
    <n v="710.22"/>
    <n v="770.3"/>
    <n v="1980.99"/>
    <n v="1480.52"/>
  </r>
  <r>
    <n v="675.29"/>
    <n v="182"/>
    <n v="805.35"/>
    <n v="547.91999999999996"/>
    <n v="414.81"/>
    <n v="769.94"/>
    <n v="8039"/>
    <x v="0"/>
    <n v="3395.31"/>
    <n v="0.42235477049384251"/>
    <n v="857.29"/>
    <n v="1353.27"/>
    <n v="769.94"/>
    <n v="414.81"/>
    <n v="2210.56"/>
    <n v="1184.75"/>
  </r>
  <r>
    <n v="288.31"/>
    <n v="233.38"/>
    <n v="936.94"/>
    <n v="349.42"/>
    <n v="598.62"/>
    <n v="54.17"/>
    <n v="4481"/>
    <x v="3"/>
    <n v="2460.84"/>
    <n v="0.54917205980807859"/>
    <n v="521.69000000000005"/>
    <n v="1286.3600000000001"/>
    <n v="54.17"/>
    <n v="598.62"/>
    <n v="1808.0500000000002"/>
    <n v="652.79"/>
  </r>
  <r>
    <n v="411.39"/>
    <n v="336.15"/>
    <n v="206.56"/>
    <n v="411.67"/>
    <n v="502.62"/>
    <n v="763.13"/>
    <n v="6831"/>
    <x v="1"/>
    <n v="2631.52"/>
    <n v="0.38523203044942173"/>
    <n v="747.54"/>
    <n v="618.23"/>
    <n v="763.13"/>
    <n v="502.62"/>
    <n v="1365.77"/>
    <n v="1265.75"/>
  </r>
  <r>
    <n v="983.4"/>
    <n v="583.08000000000004"/>
    <n v="544.15"/>
    <n v="443.14"/>
    <n v="791"/>
    <n v="864.11"/>
    <n v="10049"/>
    <x v="2"/>
    <n v="4208.88"/>
    <n v="0.41883570504527817"/>
    <n v="1566.48"/>
    <n v="987.29"/>
    <n v="864.11"/>
    <n v="791"/>
    <n v="2553.77"/>
    <n v="1655.1100000000001"/>
  </r>
  <r>
    <n v="536.33000000000004"/>
    <n v="759.45"/>
    <n v="451.21"/>
    <n v="653.83000000000004"/>
    <n v="614.91999999999996"/>
    <n v="160.29"/>
    <n v="7044"/>
    <x v="0"/>
    <n v="3176.03"/>
    <n v="0.45088444065871669"/>
    <n v="1295.7800000000002"/>
    <n v="1105.04"/>
    <n v="160.29"/>
    <n v="614.91999999999996"/>
    <n v="2400.8200000000002"/>
    <n v="775.20999999999992"/>
  </r>
  <r>
    <n v="250.42"/>
    <n v="727.86"/>
    <n v="310.57"/>
    <n v="360.1"/>
    <n v="267.08999999999997"/>
    <n v="389.7"/>
    <n v="5931"/>
    <x v="1"/>
    <n v="2305.7399999999998"/>
    <n v="0.3887607486090035"/>
    <n v="978.28"/>
    <n v="670.67000000000007"/>
    <n v="389.7"/>
    <n v="267.08999999999997"/>
    <n v="1648.95"/>
    <n v="656.79"/>
  </r>
  <r>
    <n v="775.64"/>
    <n v="605.6"/>
    <n v="605.67999999999995"/>
    <n v="189.84"/>
    <n v="732.13"/>
    <n v="923.42"/>
    <n v="9318"/>
    <x v="2"/>
    <n v="3832.3100000000004"/>
    <n v="0.41128031766473494"/>
    <n v="1381.24"/>
    <n v="795.52"/>
    <n v="923.42"/>
    <n v="732.13"/>
    <n v="2176.7600000000002"/>
    <n v="1655.55"/>
  </r>
  <r>
    <n v="297.55"/>
    <n v="132.32"/>
    <n v="771.99"/>
    <n v="810.67"/>
    <n v="480.55"/>
    <n v="280.3"/>
    <n v="5881"/>
    <x v="1"/>
    <n v="2773.3800000000006"/>
    <n v="0.47158306410474421"/>
    <n v="429.87"/>
    <n v="1582.6599999999999"/>
    <n v="280.3"/>
    <n v="480.55"/>
    <n v="2012.5299999999997"/>
    <n v="760.85"/>
  </r>
  <r>
    <n v="394.3"/>
    <n v="741.23"/>
    <n v="353.72"/>
    <n v="320.02999999999997"/>
    <n v="956.05"/>
    <n v="436.94"/>
    <n v="7231"/>
    <x v="0"/>
    <n v="3202.27"/>
    <n v="0.4428529940533813"/>
    <n v="1135.53"/>
    <n v="673.75"/>
    <n v="436.94"/>
    <n v="956.05"/>
    <n v="1809.28"/>
    <n v="1392.99"/>
  </r>
  <r>
    <n v="375.35"/>
    <n v="860.54"/>
    <n v="694.24"/>
    <n v="408.09"/>
    <n v="61.92"/>
    <n v="325.88"/>
    <n v="6763"/>
    <x v="1"/>
    <n v="2726.02"/>
    <n v="0.40307851545172263"/>
    <n v="1235.8899999999999"/>
    <n v="1102.33"/>
    <n v="325.88"/>
    <n v="61.92"/>
    <n v="2338.2199999999998"/>
    <n v="387.8"/>
  </r>
  <r>
    <n v="341.92"/>
    <n v="886.64"/>
    <n v="355.31"/>
    <n v="663.6"/>
    <n v="278.87"/>
    <n v="718.15"/>
    <n v="8737"/>
    <x v="0"/>
    <n v="3244.49"/>
    <n v="0.37135057800160237"/>
    <n v="1228.56"/>
    <n v="1018.9100000000001"/>
    <n v="718.15"/>
    <n v="278.87"/>
    <n v="2247.4700000000003"/>
    <n v="997.02"/>
  </r>
  <r>
    <n v="318.73"/>
    <n v="858.87"/>
    <n v="896.81"/>
    <n v="485.14"/>
    <n v="929.73"/>
    <n v="459.97"/>
    <n v="8724"/>
    <x v="0"/>
    <n v="3949.25"/>
    <n v="0.45268798716185238"/>
    <n v="1177.5999999999999"/>
    <n v="1381.9499999999998"/>
    <n v="459.97"/>
    <n v="929.73"/>
    <n v="2559.5499999999997"/>
    <n v="1389.7"/>
  </r>
  <r>
    <n v="972.28"/>
    <n v="816.97"/>
    <n v="430.3"/>
    <n v="401.46"/>
    <n v="555.19000000000005"/>
    <n v="351.3"/>
    <n v="8130"/>
    <x v="0"/>
    <n v="3527.5000000000005"/>
    <n v="0.43388683886838875"/>
    <n v="1789.25"/>
    <n v="831.76"/>
    <n v="351.3"/>
    <n v="555.19000000000005"/>
    <n v="2621.0100000000002"/>
    <n v="906.49"/>
  </r>
  <r>
    <n v="350.3"/>
    <n v="185.3"/>
    <n v="353.98"/>
    <n v="574.66"/>
    <n v="1.1000000000000001"/>
    <n v="860.7"/>
    <n v="6678"/>
    <x v="1"/>
    <n v="2326.04"/>
    <n v="0.34831386642707396"/>
    <n v="535.6"/>
    <n v="928.64"/>
    <n v="860.7"/>
    <n v="1.1000000000000001"/>
    <n v="1464.24"/>
    <n v="861.80000000000007"/>
  </r>
  <r>
    <n v="520.95000000000005"/>
    <n v="278.31"/>
    <n v="634.73"/>
    <n v="510.64"/>
    <n v="449.85"/>
    <n v="413.95"/>
    <n v="6281"/>
    <x v="1"/>
    <n v="2808.43"/>
    <n v="0.44713103009074984"/>
    <n v="799.26"/>
    <n v="1145.3699999999999"/>
    <n v="413.95"/>
    <n v="449.85"/>
    <n v="1944.6299999999999"/>
    <n v="863.8"/>
  </r>
  <r>
    <n v="642.75"/>
    <n v="878.1"/>
    <n v="999.23"/>
    <n v="662.46"/>
    <n v="117.02"/>
    <n v="454.2"/>
    <n v="9006"/>
    <x v="2"/>
    <n v="3753.7599999999998"/>
    <n v="0.41680657339551408"/>
    <n v="1520.85"/>
    <n v="1661.69"/>
    <n v="454.2"/>
    <n v="117.02"/>
    <n v="3182.54"/>
    <n v="571.22"/>
  </r>
  <r>
    <n v="383.91"/>
    <n v="864.55"/>
    <n v="673.49"/>
    <n v="809.05"/>
    <n v="927.93"/>
    <n v="318.49"/>
    <n v="8776"/>
    <x v="0"/>
    <n v="3977.42"/>
    <n v="0.45321558796718325"/>
    <n v="1248.46"/>
    <n v="1482.54"/>
    <n v="318.49"/>
    <n v="927.93"/>
    <n v="2731"/>
    <n v="1246.42"/>
  </r>
  <r>
    <n v="427.73"/>
    <n v="791.7"/>
    <n v="179.24"/>
    <n v="487.63"/>
    <n v="901.61"/>
    <n v="211.18"/>
    <n v="6657"/>
    <x v="1"/>
    <n v="2999.09"/>
    <n v="0.4505167492864654"/>
    <n v="1219.43"/>
    <n v="666.87"/>
    <n v="211.18"/>
    <n v="901.61"/>
    <n v="1886.3000000000002"/>
    <n v="1112.79"/>
  </r>
  <r>
    <n v="377.42"/>
    <n v="813.58"/>
    <n v="167.37"/>
    <n v="588.21"/>
    <n v="966.39"/>
    <n v="532.65"/>
    <n v="8198"/>
    <x v="0"/>
    <n v="3445.62"/>
    <n v="0.42030007318858259"/>
    <n v="1191"/>
    <n v="755.58"/>
    <n v="532.65"/>
    <n v="966.39"/>
    <n v="1946.58"/>
    <n v="1499.04"/>
  </r>
  <r>
    <n v="767.6"/>
    <n v="819.62"/>
    <n v="663.57"/>
    <n v="144.69"/>
    <n v="342.12"/>
    <n v="262.48"/>
    <n v="6802"/>
    <x v="1"/>
    <n v="3000.08"/>
    <n v="0.44105851220229342"/>
    <n v="1587.22"/>
    <n v="808.26"/>
    <n v="262.48"/>
    <n v="342.12"/>
    <n v="2395.48"/>
    <n v="604.6"/>
  </r>
  <r>
    <n v="670.26"/>
    <n v="56.23"/>
    <n v="487.73"/>
    <n v="679.19"/>
    <n v="179.2"/>
    <n v="789.95"/>
    <n v="7331"/>
    <x v="0"/>
    <n v="2862.5600000000004"/>
    <n v="0.39047333242395316"/>
    <n v="726.49"/>
    <n v="1166.92"/>
    <n v="789.95"/>
    <n v="179.2"/>
    <n v="1893.41"/>
    <n v="969.15000000000009"/>
  </r>
  <r>
    <n v="447.56"/>
    <n v="727.43"/>
    <n v="144.06"/>
    <n v="317.25"/>
    <n v="251.04"/>
    <n v="981.17"/>
    <n v="8313"/>
    <x v="0"/>
    <n v="2868.5099999999998"/>
    <n v="0.3450631540959942"/>
    <n v="1174.99"/>
    <n v="461.31"/>
    <n v="981.17"/>
    <n v="251.04"/>
    <n v="1636.3"/>
    <n v="1232.21"/>
  </r>
  <r>
    <n v="14.03"/>
    <n v="659.34"/>
    <n v="112.32"/>
    <n v="425.96"/>
    <n v="998.3"/>
    <n v="936.46"/>
    <n v="8178"/>
    <x v="0"/>
    <n v="3146.41"/>
    <n v="0.38474076791391537"/>
    <n v="673.37"/>
    <n v="538.28"/>
    <n v="936.46"/>
    <n v="998.3"/>
    <n v="1211.6500000000001"/>
    <n v="1934.76"/>
  </r>
  <r>
    <n v="632.92999999999995"/>
    <n v="653.66"/>
    <n v="251.56"/>
    <n v="734"/>
    <n v="879.12"/>
    <n v="138.78"/>
    <n v="7048"/>
    <x v="0"/>
    <n v="3290.0499999999997"/>
    <n v="0.46680618615209984"/>
    <n v="1286.5899999999999"/>
    <n v="985.56"/>
    <n v="138.78"/>
    <n v="879.12"/>
    <n v="2272.1499999999996"/>
    <n v="1017.9"/>
  </r>
  <r>
    <n v="961.72"/>
    <n v="801.42"/>
    <n v="247.44"/>
    <n v="562.54"/>
    <n v="772.64"/>
    <n v="762.27"/>
    <n v="10094"/>
    <x v="2"/>
    <n v="4108.03"/>
    <n v="0.40697741232415291"/>
    <n v="1763.1399999999999"/>
    <n v="809.98"/>
    <n v="762.27"/>
    <n v="772.64"/>
    <n v="2573.12"/>
    <n v="1534.9099999999999"/>
  </r>
  <r>
    <n v="677.28"/>
    <n v="651.75"/>
    <n v="68.23"/>
    <n v="569.20000000000005"/>
    <n v="100.51"/>
    <n v="515.51"/>
    <n v="7003"/>
    <x v="0"/>
    <n v="2582.4800000000005"/>
    <n v="0.36876767099814373"/>
    <n v="1329.03"/>
    <n v="637.43000000000006"/>
    <n v="515.51"/>
    <n v="100.51"/>
    <n v="1966.46"/>
    <n v="616.02"/>
  </r>
  <r>
    <n v="8.84"/>
    <n v="416.59"/>
    <n v="716"/>
    <n v="949.21"/>
    <n v="624.59"/>
    <n v="623.30999999999995"/>
    <n v="7966"/>
    <x v="0"/>
    <n v="3338.54"/>
    <n v="0.41909866934471501"/>
    <n v="425.42999999999995"/>
    <n v="1665.21"/>
    <n v="623.30999999999995"/>
    <n v="624.59"/>
    <n v="2090.64"/>
    <n v="1247.9000000000001"/>
  </r>
  <r>
    <n v="269.45999999999998"/>
    <n v="304.74"/>
    <n v="221.85"/>
    <n v="57.73"/>
    <n v="669.73"/>
    <n v="641.67999999999995"/>
    <n v="5292"/>
    <x v="1"/>
    <n v="2165.19"/>
    <n v="0.40914399092970521"/>
    <n v="574.20000000000005"/>
    <n v="279.58"/>
    <n v="641.67999999999995"/>
    <n v="669.73"/>
    <n v="853.78"/>
    <n v="1311.4099999999999"/>
  </r>
  <r>
    <n v="1.04"/>
    <n v="19.68"/>
    <n v="900.71"/>
    <n v="55.67"/>
    <n v="379.03"/>
    <n v="63.1"/>
    <n v="2259"/>
    <x v="3"/>
    <n v="1419.23"/>
    <n v="0.62825586542718015"/>
    <n v="20.72"/>
    <n v="956.38"/>
    <n v="63.1"/>
    <n v="379.03"/>
    <n v="977.1"/>
    <n v="442.13"/>
  </r>
  <r>
    <n v="236.32"/>
    <n v="172.26"/>
    <n v="936.65"/>
    <n v="48.26"/>
    <n v="293.02999999999997"/>
    <n v="582.58000000000004"/>
    <n v="5191"/>
    <x v="1"/>
    <n v="2269.1"/>
    <n v="0.4371219418223849"/>
    <n v="408.58"/>
    <n v="984.91"/>
    <n v="582.58000000000004"/>
    <n v="293.02999999999997"/>
    <n v="1393.49"/>
    <n v="875.61"/>
  </r>
  <r>
    <n v="639.02"/>
    <n v="873.2"/>
    <n v="972.38"/>
    <n v="961.58"/>
    <n v="761.14"/>
    <n v="307.13"/>
    <n v="9889"/>
    <x v="2"/>
    <n v="4514.45"/>
    <n v="0.4565122863788047"/>
    <n v="1512.22"/>
    <n v="1933.96"/>
    <n v="307.13"/>
    <n v="761.14"/>
    <n v="3446.1800000000003"/>
    <n v="1068.27"/>
  </r>
  <r>
    <n v="846.02"/>
    <n v="919.07"/>
    <n v="403.48"/>
    <n v="429.08"/>
    <n v="24.8"/>
    <n v="632.37"/>
    <n v="8687"/>
    <x v="0"/>
    <n v="3254.82"/>
    <n v="0.37467710371819962"/>
    <n v="1765.0900000000001"/>
    <n v="832.56"/>
    <n v="632.37"/>
    <n v="24.8"/>
    <n v="2597.65"/>
    <n v="657.17"/>
  </r>
  <r>
    <n v="330.77"/>
    <n v="248.54"/>
    <n v="161.30000000000001"/>
    <n v="779.52"/>
    <n v="310.61"/>
    <n v="661.73"/>
    <n v="6613"/>
    <x v="1"/>
    <n v="2492.4699999999998"/>
    <n v="0.37690458188416753"/>
    <n v="579.30999999999995"/>
    <n v="940.81999999999994"/>
    <n v="661.73"/>
    <n v="310.61"/>
    <n v="1520.1299999999999"/>
    <n v="972.34"/>
  </r>
  <r>
    <n v="533.6"/>
    <n v="633.38"/>
    <n v="605.78"/>
    <n v="906.55"/>
    <n v="332.73"/>
    <n v="312.64"/>
    <n v="7784"/>
    <x v="0"/>
    <n v="3324.68"/>
    <n v="0.42711716341212741"/>
    <n v="1166.98"/>
    <n v="1512.33"/>
    <n v="312.64"/>
    <n v="332.73"/>
    <n v="2679.31"/>
    <n v="645.37"/>
  </r>
  <r>
    <n v="16.190000000000001"/>
    <n v="678.98"/>
    <n v="522.04999999999995"/>
    <n v="644.91"/>
    <n v="41.61"/>
    <n v="743.54"/>
    <n v="7455"/>
    <x v="0"/>
    <n v="2647.2799999999997"/>
    <n v="0.3551012743125419"/>
    <n v="695.17000000000007"/>
    <n v="1166.96"/>
    <n v="743.54"/>
    <n v="41.61"/>
    <n v="1862.13"/>
    <n v="785.15"/>
  </r>
  <r>
    <n v="259.43"/>
    <n v="329.67"/>
    <n v="656.14"/>
    <n v="914.94"/>
    <n v="703.49"/>
    <n v="662.19"/>
    <n v="8277"/>
    <x v="0"/>
    <n v="3525.86"/>
    <n v="0.42598284402561315"/>
    <n v="589.1"/>
    <n v="1571.08"/>
    <n v="662.19"/>
    <n v="703.49"/>
    <n v="2160.1799999999998"/>
    <n v="1365.68"/>
  </r>
  <r>
    <n v="875.12"/>
    <n v="384.08"/>
    <n v="808.14"/>
    <n v="552.04999999999995"/>
    <n v="616.29"/>
    <n v="605.12"/>
    <n v="8659"/>
    <x v="0"/>
    <n v="3840.8"/>
    <n v="0.44356161219540363"/>
    <n v="1259.2"/>
    <n v="1360.19"/>
    <n v="605.12"/>
    <n v="616.29"/>
    <n v="2619.3900000000003"/>
    <n v="1221.4099999999999"/>
  </r>
  <r>
    <n v="333.54"/>
    <n v="796.11"/>
    <n v="516.83000000000004"/>
    <n v="794.89"/>
    <n v="193.18"/>
    <n v="481.94"/>
    <n v="7970"/>
    <x v="0"/>
    <n v="3116.49"/>
    <n v="0.39102760351317439"/>
    <n v="1129.6500000000001"/>
    <n v="1311.72"/>
    <n v="481.94"/>
    <n v="193.18"/>
    <n v="2441.37"/>
    <n v="675.12"/>
  </r>
  <r>
    <n v="637.70000000000005"/>
    <n v="33.549999999999997"/>
    <n v="582.04999999999995"/>
    <n v="753.24"/>
    <n v="307.22000000000003"/>
    <n v="525.67999999999995"/>
    <n v="6595"/>
    <x v="1"/>
    <n v="2839.44"/>
    <n v="0.43054435178165279"/>
    <n v="671.25"/>
    <n v="1335.29"/>
    <n v="525.67999999999995"/>
    <n v="307.22000000000003"/>
    <n v="2006.54"/>
    <n v="832.9"/>
  </r>
  <r>
    <n v="670.31"/>
    <n v="26.73"/>
    <n v="522.02"/>
    <n v="440.71"/>
    <n v="105.33"/>
    <n v="275.16000000000003"/>
    <n v="4519"/>
    <x v="3"/>
    <n v="2040.26"/>
    <n v="0.45148484177915466"/>
    <n v="697.04"/>
    <n v="962.73"/>
    <n v="275.16000000000003"/>
    <n v="105.33"/>
    <n v="1659.77"/>
    <n v="380.49"/>
  </r>
  <r>
    <n v="398.07"/>
    <n v="611.35"/>
    <n v="333.33"/>
    <n v="160.58000000000001"/>
    <n v="952.81"/>
    <n v="438.19"/>
    <n v="6430"/>
    <x v="1"/>
    <n v="2894.33"/>
    <n v="0.45012908242612754"/>
    <n v="1009.4200000000001"/>
    <n v="493.90999999999997"/>
    <n v="438.19"/>
    <n v="952.81"/>
    <n v="1503.33"/>
    <n v="1391"/>
  </r>
  <r>
    <n v="207.49"/>
    <n v="417.62"/>
    <n v="331.3"/>
    <n v="484.32"/>
    <n v="849.61"/>
    <n v="845.14"/>
    <n v="7782"/>
    <x v="0"/>
    <n v="3135.48"/>
    <n v="0.40291441788743254"/>
    <n v="625.11"/>
    <n v="815.62"/>
    <n v="845.14"/>
    <n v="849.61"/>
    <n v="1440.73"/>
    <n v="1694.75"/>
  </r>
  <r>
    <n v="620.28"/>
    <n v="290.29000000000002"/>
    <n v="118.69"/>
    <n v="436.82"/>
    <n v="803.95"/>
    <n v="294.95999999999998"/>
    <n v="5507"/>
    <x v="1"/>
    <n v="2564.9899999999998"/>
    <n v="0.46576902124568725"/>
    <n v="910.56999999999994"/>
    <n v="555.51"/>
    <n v="294.95999999999998"/>
    <n v="803.95"/>
    <n v="1466.08"/>
    <n v="1098.9100000000001"/>
  </r>
  <r>
    <n v="590.98"/>
    <n v="3.63"/>
    <n v="486.88"/>
    <n v="95.81"/>
    <n v="119.34"/>
    <n v="409.45"/>
    <n v="3956"/>
    <x v="3"/>
    <n v="1706.09"/>
    <n v="0.43126643073811927"/>
    <n v="594.61"/>
    <n v="582.69000000000005"/>
    <n v="409.45"/>
    <n v="119.34"/>
    <n v="1177.3000000000002"/>
    <n v="528.79"/>
  </r>
  <r>
    <n v="341.21"/>
    <n v="535.35"/>
    <n v="820.88"/>
    <n v="44.73"/>
    <n v="730.23"/>
    <n v="807.56"/>
    <n v="7737"/>
    <x v="0"/>
    <n v="3279.96"/>
    <n v="0.42393175649476544"/>
    <n v="876.56"/>
    <n v="865.61"/>
    <n v="807.56"/>
    <n v="730.23"/>
    <n v="1742.17"/>
    <n v="1537.79"/>
  </r>
  <r>
    <n v="515.55999999999995"/>
    <n v="765.58"/>
    <n v="670.14"/>
    <n v="79.95"/>
    <n v="525.42999999999995"/>
    <n v="609.28"/>
    <n v="7585"/>
    <x v="0"/>
    <n v="3165.9399999999996"/>
    <n v="0.41739485827290701"/>
    <n v="1281.1399999999999"/>
    <n v="750.09"/>
    <n v="609.28"/>
    <n v="525.42999999999995"/>
    <n v="2031.23"/>
    <n v="1134.71"/>
  </r>
  <r>
    <n v="711.36"/>
    <n v="84.09"/>
    <n v="52.43"/>
    <n v="907.89"/>
    <n v="744.53"/>
    <n v="85.62"/>
    <n v="5279"/>
    <x v="1"/>
    <n v="2585.92"/>
    <n v="0.48985035044516007"/>
    <n v="795.45"/>
    <n v="960.31999999999994"/>
    <n v="85.62"/>
    <n v="744.53"/>
    <n v="1755.77"/>
    <n v="830.15"/>
  </r>
  <r>
    <n v="493.47"/>
    <n v="326.11"/>
    <n v="546.03"/>
    <n v="406.79"/>
    <n v="492.74"/>
    <n v="610.5"/>
    <n v="6838"/>
    <x v="1"/>
    <n v="2875.6400000000003"/>
    <n v="0.42053816905527935"/>
    <n v="819.58"/>
    <n v="952.81999999999994"/>
    <n v="610.5"/>
    <n v="492.74"/>
    <n v="1772.4"/>
    <n v="1103.24"/>
  </r>
  <r>
    <n v="966.54"/>
    <n v="617.79999999999995"/>
    <n v="850.09"/>
    <n v="731.43"/>
    <n v="999.83"/>
    <n v="354.16"/>
    <n v="9498"/>
    <x v="2"/>
    <n v="4519.8499999999995"/>
    <n v="0.47587386818277527"/>
    <n v="1584.34"/>
    <n v="1581.52"/>
    <n v="354.16"/>
    <n v="999.83"/>
    <n v="3165.8599999999997"/>
    <n v="1353.99"/>
  </r>
  <r>
    <n v="362.64"/>
    <n v="54.75"/>
    <n v="754.27"/>
    <n v="888.38"/>
    <n v="574.96"/>
    <n v="324.74"/>
    <n v="6238"/>
    <x v="1"/>
    <n v="2959.74"/>
    <n v="0.47446938121192689"/>
    <n v="417.39"/>
    <n v="1642.65"/>
    <n v="324.74"/>
    <n v="574.96"/>
    <n v="2060.04"/>
    <n v="899.7"/>
  </r>
  <r>
    <n v="251.5"/>
    <n v="937.55"/>
    <n v="330.19"/>
    <n v="277.27999999999997"/>
    <n v="411.96"/>
    <n v="336.4"/>
    <n v="6356"/>
    <x v="1"/>
    <n v="2544.88"/>
    <n v="0.40039018250471997"/>
    <n v="1189.05"/>
    <n v="607.47"/>
    <n v="336.4"/>
    <n v="411.96"/>
    <n v="1796.52"/>
    <n v="748.3599999999999"/>
  </r>
  <r>
    <n v="410.44"/>
    <n v="608.41"/>
    <n v="719.84"/>
    <n v="907.29"/>
    <n v="84.35"/>
    <n v="681.15"/>
    <n v="8806"/>
    <x v="0"/>
    <n v="3411.48"/>
    <n v="0.38740404269816037"/>
    <n v="1018.8499999999999"/>
    <n v="1627.13"/>
    <n v="681.15"/>
    <n v="84.35"/>
    <n v="2645.98"/>
    <n v="765.5"/>
  </r>
  <r>
    <n v="836.78"/>
    <n v="395.37"/>
    <n v="26.66"/>
    <n v="152.38"/>
    <n v="786.1"/>
    <n v="738.4"/>
    <n v="7175"/>
    <x v="0"/>
    <n v="2935.69"/>
    <n v="0.40915540069686412"/>
    <n v="1232.1500000000001"/>
    <n v="179.04"/>
    <n v="738.4"/>
    <n v="786.1"/>
    <n v="1411.19"/>
    <n v="1524.5"/>
  </r>
  <r>
    <n v="60.41"/>
    <n v="884.67"/>
    <n v="892.1"/>
    <n v="576.07000000000005"/>
    <n v="74.290000000000006"/>
    <n v="704.23"/>
    <n v="8472"/>
    <x v="0"/>
    <n v="3191.77"/>
    <n v="0.37674338999055712"/>
    <n v="945.07999999999993"/>
    <n v="1468.17"/>
    <n v="704.23"/>
    <n v="74.290000000000006"/>
    <n v="2413.25"/>
    <n v="778.52"/>
  </r>
  <r>
    <n v="226.56"/>
    <n v="802.92"/>
    <n v="55.51"/>
    <n v="300.17"/>
    <n v="6.18"/>
    <n v="141.22999999999999"/>
    <n v="4279"/>
    <x v="3"/>
    <n v="1532.5700000000002"/>
    <n v="0.35816078523019401"/>
    <n v="1029.48"/>
    <n v="355.68"/>
    <n v="141.22999999999999"/>
    <n v="6.18"/>
    <n v="1385.16"/>
    <n v="147.41"/>
  </r>
  <r>
    <n v="117.94"/>
    <n v="635.13"/>
    <n v="238.6"/>
    <n v="364.03"/>
    <n v="324.37"/>
    <n v="497.95"/>
    <n v="5787"/>
    <x v="1"/>
    <n v="2178.0199999999995"/>
    <n v="0.3763642647312942"/>
    <n v="753.06999999999994"/>
    <n v="602.63"/>
    <n v="497.95"/>
    <n v="324.37"/>
    <n v="1355.6999999999998"/>
    <n v="822.31999999999994"/>
  </r>
  <r>
    <n v="590.38"/>
    <n v="541.99"/>
    <n v="468.96"/>
    <n v="559.48"/>
    <n v="688.64"/>
    <n v="271.45999999999998"/>
    <n v="6827"/>
    <x v="1"/>
    <n v="3120.91"/>
    <n v="0.45714222938333088"/>
    <n v="1132.3699999999999"/>
    <n v="1028.44"/>
    <n v="271.45999999999998"/>
    <n v="688.64"/>
    <n v="2160.81"/>
    <n v="960.09999999999991"/>
  </r>
  <r>
    <n v="255.61"/>
    <n v="637.59"/>
    <n v="496.61"/>
    <n v="203.09"/>
    <n v="614.44000000000005"/>
    <n v="206.61"/>
    <n v="5235"/>
    <x v="1"/>
    <n v="2413.9500000000003"/>
    <n v="0.46111747851002871"/>
    <n v="893.2"/>
    <n v="699.7"/>
    <n v="206.61"/>
    <n v="614.44000000000005"/>
    <n v="1592.9"/>
    <n v="821.05000000000007"/>
  </r>
  <r>
    <n v="428.43"/>
    <n v="12.55"/>
    <n v="145.97"/>
    <n v="512.33000000000004"/>
    <n v="853.58"/>
    <n v="196.52"/>
    <n v="4212"/>
    <x v="3"/>
    <n v="2149.38"/>
    <n v="0.51029914529914533"/>
    <n v="440.98"/>
    <n v="658.30000000000007"/>
    <n v="196.52"/>
    <n v="853.58"/>
    <n v="1099.2800000000002"/>
    <n v="1050.1000000000001"/>
  </r>
  <r>
    <n v="149.78"/>
    <n v="191.97"/>
    <n v="558.87"/>
    <n v="172.98"/>
    <n v="412.79"/>
    <n v="178.45"/>
    <n v="3335"/>
    <x v="3"/>
    <n v="1664.84"/>
    <n v="0.49920239880059969"/>
    <n v="341.75"/>
    <n v="731.85"/>
    <n v="178.45"/>
    <n v="412.79"/>
    <n v="1073.5999999999999"/>
    <n v="591.24"/>
  </r>
  <r>
    <n v="328.07"/>
    <n v="782.75"/>
    <n v="172.69"/>
    <n v="313.47000000000003"/>
    <n v="124.85"/>
    <n v="453.17"/>
    <n v="6026"/>
    <x v="1"/>
    <n v="2175"/>
    <n v="0.36093594424161962"/>
    <n v="1110.82"/>
    <n v="486.16"/>
    <n v="453.17"/>
    <n v="124.85"/>
    <n v="1596.98"/>
    <n v="578.02"/>
  </r>
  <r>
    <n v="795.28"/>
    <n v="970.21"/>
    <n v="968.39"/>
    <n v="857.64"/>
    <n v="255.73"/>
    <n v="149.38999999999999"/>
    <n v="9011"/>
    <x v="2"/>
    <n v="3996.64"/>
    <n v="0.44352902008656087"/>
    <n v="1765.49"/>
    <n v="1826.03"/>
    <n v="149.38999999999999"/>
    <n v="255.73"/>
    <n v="3591.52"/>
    <n v="405.12"/>
  </r>
  <r>
    <n v="72.75"/>
    <n v="880.44"/>
    <n v="239.08"/>
    <n v="949.07"/>
    <n v="902.65"/>
    <n v="148.75"/>
    <n v="7192"/>
    <x v="0"/>
    <n v="3192.7400000000002"/>
    <n v="0.44392936596218024"/>
    <n v="953.19"/>
    <n v="1188.1500000000001"/>
    <n v="148.75"/>
    <n v="902.65"/>
    <n v="2141.34"/>
    <n v="1051.4000000000001"/>
  </r>
  <r>
    <n v="132.99"/>
    <n v="757.7"/>
    <n v="167.64"/>
    <n v="230.73"/>
    <n v="297.79000000000002"/>
    <n v="886.06"/>
    <n v="7282"/>
    <x v="0"/>
    <n v="2472.91"/>
    <n v="0.33959214501510571"/>
    <n v="890.69"/>
    <n v="398.37"/>
    <n v="886.06"/>
    <n v="297.79000000000002"/>
    <n v="1289.06"/>
    <n v="1183.8499999999999"/>
  </r>
  <r>
    <n v="284"/>
    <n v="556.77"/>
    <n v="96.05"/>
    <n v="116.79"/>
    <n v="694.57"/>
    <n v="559.16"/>
    <n v="5744"/>
    <x v="1"/>
    <n v="2307.3399999999997"/>
    <n v="0.40169568245125342"/>
    <n v="840.77"/>
    <n v="212.84"/>
    <n v="559.16"/>
    <n v="694.57"/>
    <n v="1053.6099999999999"/>
    <n v="1253.73"/>
  </r>
  <r>
    <n v="36.04"/>
    <n v="925.81"/>
    <n v="822.63"/>
    <n v="531.66999999999996"/>
    <n v="57.51"/>
    <n v="218.46"/>
    <n v="6348"/>
    <x v="1"/>
    <n v="2592.1200000000003"/>
    <n v="0.4083364839319471"/>
    <n v="961.84999999999991"/>
    <n v="1354.3"/>
    <n v="218.46"/>
    <n v="57.51"/>
    <n v="2316.1499999999996"/>
    <n v="275.97000000000003"/>
  </r>
  <r>
    <n v="599.91999999999996"/>
    <n v="832.48"/>
    <n v="116.6"/>
    <n v="296.04000000000002"/>
    <n v="970.38"/>
    <n v="415.97"/>
    <n v="7425"/>
    <x v="0"/>
    <n v="3231.3900000000003"/>
    <n v="0.43520404040404043"/>
    <n v="1432.4"/>
    <n v="412.64"/>
    <n v="415.97"/>
    <n v="970.38"/>
    <n v="1845.04"/>
    <n v="1386.35"/>
  </r>
  <r>
    <n v="994.4"/>
    <n v="785.92"/>
    <n v="159.25"/>
    <n v="381.83"/>
    <n v="296.66000000000003"/>
    <n v="892.39"/>
    <n v="9473"/>
    <x v="2"/>
    <n v="3510.45"/>
    <n v="0.3705742636968225"/>
    <n v="1780.32"/>
    <n v="541.07999999999993"/>
    <n v="892.39"/>
    <n v="296.66000000000003"/>
    <n v="2321.3999999999996"/>
    <n v="1189.05"/>
  </r>
  <r>
    <n v="36.04"/>
    <n v="423.25"/>
    <n v="166.91"/>
    <n v="222.02"/>
    <n v="598.42999999999995"/>
    <n v="247.19"/>
    <n v="3878"/>
    <x v="3"/>
    <n v="1693.8400000000001"/>
    <n v="0.43678184631253225"/>
    <n v="459.29"/>
    <n v="388.93"/>
    <n v="247.19"/>
    <n v="598.42999999999995"/>
    <n v="848.22"/>
    <n v="845.61999999999989"/>
  </r>
  <r>
    <n v="475.17"/>
    <n v="380.97"/>
    <n v="460.06"/>
    <n v="642.39"/>
    <n v="220"/>
    <n v="376.2"/>
    <n v="6144"/>
    <x v="1"/>
    <n v="2554.79"/>
    <n v="0.41581868489583335"/>
    <n v="856.1400000000001"/>
    <n v="1102.45"/>
    <n v="376.2"/>
    <n v="220"/>
    <n v="1958.5900000000001"/>
    <n v="596.20000000000005"/>
  </r>
  <r>
    <n v="587.02"/>
    <n v="361.02"/>
    <n v="694.24"/>
    <n v="329.66"/>
    <n v="797.7"/>
    <n v="313.52999999999997"/>
    <n v="6324"/>
    <x v="1"/>
    <n v="3083.17"/>
    <n v="0.48753478810879192"/>
    <n v="948.04"/>
    <n v="1023.9000000000001"/>
    <n v="313.52999999999997"/>
    <n v="797.7"/>
    <n v="1971.94"/>
    <n v="1111.23"/>
  </r>
  <r>
    <n v="781.15"/>
    <n v="552.75"/>
    <n v="174.21"/>
    <n v="601.86"/>
    <n v="777.93"/>
    <n v="366.76"/>
    <n v="7383"/>
    <x v="0"/>
    <n v="3254.66"/>
    <n v="0.440831640254639"/>
    <n v="1333.9"/>
    <n v="776.07"/>
    <n v="366.76"/>
    <n v="777.93"/>
    <n v="2109.9700000000003"/>
    <n v="1144.69"/>
  </r>
  <r>
    <n v="472.43"/>
    <n v="114.31"/>
    <n v="565.1"/>
    <n v="905.36"/>
    <n v="405.67"/>
    <n v="185.11"/>
    <n v="5620"/>
    <x v="1"/>
    <n v="2647.9800000000005"/>
    <n v="0.47117081850533815"/>
    <n v="586.74"/>
    <n v="1470.46"/>
    <n v="185.11"/>
    <n v="405.67"/>
    <n v="2057.1999999999998"/>
    <n v="590.78"/>
  </r>
  <r>
    <n v="54.08"/>
    <n v="736.44"/>
    <n v="997.23"/>
    <n v="735.75"/>
    <n v="9.5299999999999994"/>
    <n v="71.72"/>
    <n v="5940"/>
    <x v="1"/>
    <n v="2604.75"/>
    <n v="0.43851010101010102"/>
    <n v="790.5200000000001"/>
    <n v="1732.98"/>
    <n v="71.72"/>
    <n v="9.5299999999999994"/>
    <n v="2523.5"/>
    <n v="81.25"/>
  </r>
  <r>
    <n v="274.3"/>
    <n v="333.08"/>
    <n v="614.04999999999995"/>
    <n v="620.32000000000005"/>
    <n v="174.87"/>
    <n v="574.23"/>
    <n v="6519"/>
    <x v="1"/>
    <n v="2590.85"/>
    <n v="0.39743058751342231"/>
    <n v="607.38"/>
    <n v="1234.3699999999999"/>
    <n v="574.23"/>
    <n v="174.87"/>
    <n v="1841.75"/>
    <n v="749.1"/>
  </r>
  <r>
    <n v="906.84"/>
    <n v="187.21"/>
    <n v="676.99"/>
    <n v="655.5"/>
    <n v="321.58999999999997"/>
    <n v="632.86"/>
    <n v="7964"/>
    <x v="0"/>
    <n v="3380.9900000000002"/>
    <n v="0.42453415369161229"/>
    <n v="1094.05"/>
    <n v="1332.49"/>
    <n v="632.86"/>
    <n v="321.58999999999997"/>
    <n v="2426.54"/>
    <n v="954.45"/>
  </r>
  <r>
    <n v="855.78"/>
    <n v="620.44000000000005"/>
    <n v="763.26"/>
    <n v="385.05"/>
    <n v="461.73"/>
    <n v="58.23"/>
    <n v="6456"/>
    <x v="1"/>
    <n v="3144.4900000000002"/>
    <n v="0.48706474597273858"/>
    <n v="1476.22"/>
    <n v="1148.31"/>
    <n v="58.23"/>
    <n v="461.73"/>
    <n v="2624.5299999999997"/>
    <n v="519.96"/>
  </r>
  <r>
    <n v="269.01"/>
    <n v="390.09"/>
    <n v="860.02"/>
    <n v="944.26"/>
    <n v="607.54999999999995"/>
    <n v="277.63"/>
    <n v="7174"/>
    <x v="0"/>
    <n v="3348.5600000000004"/>
    <n v="0.4667633119598551"/>
    <n v="659.09999999999991"/>
    <n v="1804.28"/>
    <n v="277.63"/>
    <n v="607.54999999999995"/>
    <n v="2463.38"/>
    <n v="885.18"/>
  </r>
  <r>
    <n v="52.01"/>
    <n v="177.25"/>
    <n v="174.17"/>
    <n v="686.41"/>
    <n v="618.69000000000005"/>
    <n v="234.05"/>
    <n v="4278"/>
    <x v="3"/>
    <n v="1942.58"/>
    <n v="0.4540860215053763"/>
    <n v="229.26"/>
    <n v="860.57999999999993"/>
    <n v="234.05"/>
    <n v="618.69000000000005"/>
    <n v="1089.8399999999999"/>
    <n v="852.74"/>
  </r>
  <r>
    <n v="610.15"/>
    <n v="995.32"/>
    <n v="757.92"/>
    <n v="622.36"/>
    <n v="241.99"/>
    <n v="910.61"/>
    <n v="10841"/>
    <x v="2"/>
    <n v="4138.3499999999995"/>
    <n v="0.38173139009316481"/>
    <n v="1605.47"/>
    <n v="1380.28"/>
    <n v="910.61"/>
    <n v="241.99"/>
    <n v="2985.75"/>
    <n v="1152.5999999999999"/>
  </r>
  <r>
    <n v="387.72"/>
    <n v="256.08"/>
    <n v="791.75"/>
    <n v="40.6"/>
    <n v="822.03"/>
    <n v="342"/>
    <n v="5185"/>
    <x v="1"/>
    <n v="2640.18"/>
    <n v="0.50919575699132114"/>
    <n v="643.79999999999995"/>
    <n v="832.35"/>
    <n v="342"/>
    <n v="822.03"/>
    <n v="1476.15"/>
    <n v="1164.03"/>
  </r>
  <r>
    <n v="328.11"/>
    <n v="183.13"/>
    <n v="850.23"/>
    <n v="461.4"/>
    <n v="345.2"/>
    <n v="489.56"/>
    <n v="6005"/>
    <x v="1"/>
    <n v="2657.6299999999997"/>
    <n v="0.4425695253955037"/>
    <n v="511.24"/>
    <n v="1311.63"/>
    <n v="489.56"/>
    <n v="345.2"/>
    <n v="1822.8700000000001"/>
    <n v="834.76"/>
  </r>
  <r>
    <n v="890.01"/>
    <n v="373.28"/>
    <n v="623.96"/>
    <n v="228.75"/>
    <n v="314.52"/>
    <n v="224.78"/>
    <n v="5681"/>
    <x v="1"/>
    <n v="2655.3"/>
    <n v="0.46740010561520862"/>
    <n v="1263.29"/>
    <n v="852.71"/>
    <n v="224.78"/>
    <n v="314.52"/>
    <n v="2116"/>
    <n v="539.29999999999995"/>
  </r>
  <r>
    <n v="167.14"/>
    <n v="943.57"/>
    <n v="820.53"/>
    <n v="455"/>
    <n v="131.76"/>
    <n v="363.92"/>
    <n v="7130"/>
    <x v="0"/>
    <n v="2881.92"/>
    <n v="0.40419635343618515"/>
    <n v="1110.71"/>
    <n v="1275.53"/>
    <n v="363.92"/>
    <n v="131.76"/>
    <n v="2386.2399999999998"/>
    <n v="495.68"/>
  </r>
  <r>
    <n v="668.24"/>
    <n v="798.99"/>
    <n v="171.95"/>
    <n v="283.05"/>
    <n v="546.02"/>
    <n v="677.84"/>
    <n v="8078"/>
    <x v="0"/>
    <n v="3146.09"/>
    <n v="0.38946397623174056"/>
    <n v="1467.23"/>
    <n v="455"/>
    <n v="677.84"/>
    <n v="546.02"/>
    <n v="1922.23"/>
    <n v="1223.8600000000001"/>
  </r>
  <r>
    <n v="249.8"/>
    <n v="487.18"/>
    <n v="922.77"/>
    <n v="18.489999999999998"/>
    <n v="510.91"/>
    <n v="837.58"/>
    <n v="7339"/>
    <x v="0"/>
    <n v="3026.73"/>
    <n v="0.41241722305491213"/>
    <n v="736.98"/>
    <n v="941.26"/>
    <n v="837.58"/>
    <n v="510.91"/>
    <n v="1678.24"/>
    <n v="1348.49"/>
  </r>
  <r>
    <n v="188.82"/>
    <n v="129.27000000000001"/>
    <n v="230.43"/>
    <n v="464.89"/>
    <n v="389.11"/>
    <n v="748.99"/>
    <n v="5728"/>
    <x v="1"/>
    <n v="2151.5100000000002"/>
    <n v="0.37561277932960896"/>
    <n v="318.09000000000003"/>
    <n v="695.31999999999994"/>
    <n v="748.99"/>
    <n v="389.11"/>
    <n v="1013.41"/>
    <n v="1138.0999999999999"/>
  </r>
  <r>
    <n v="383.98"/>
    <n v="654.54"/>
    <n v="678.22"/>
    <n v="651.29"/>
    <n v="415.85"/>
    <n v="411.91"/>
    <n v="7529"/>
    <x v="0"/>
    <n v="3195.7899999999995"/>
    <n v="0.42446407225395133"/>
    <n v="1038.52"/>
    <n v="1329.51"/>
    <n v="411.91"/>
    <n v="415.85"/>
    <n v="2368.0299999999997"/>
    <n v="827.76"/>
  </r>
  <r>
    <n v="649.53"/>
    <n v="795.64"/>
    <n v="533.72"/>
    <n v="510.37"/>
    <n v="485.43"/>
    <n v="608.69000000000005"/>
    <n v="8775"/>
    <x v="0"/>
    <n v="3583.38"/>
    <n v="0.4083623931623932"/>
    <n v="1445.17"/>
    <n v="1044.0900000000001"/>
    <n v="608.69000000000005"/>
    <n v="485.43"/>
    <n v="2489.2600000000002"/>
    <n v="1094.1200000000001"/>
  </r>
  <r>
    <n v="519.08000000000004"/>
    <n v="493.1"/>
    <n v="375.53"/>
    <n v="579.99"/>
    <n v="491.61"/>
    <n v="255.77"/>
    <n v="6163"/>
    <x v="1"/>
    <n v="2715.08"/>
    <n v="0.4405451890313159"/>
    <n v="1012.1800000000001"/>
    <n v="955.52"/>
    <n v="255.77"/>
    <n v="491.61"/>
    <n v="1967.7"/>
    <n v="747.38"/>
  </r>
  <r>
    <n v="920.06"/>
    <n v="668.16"/>
    <n v="771.18"/>
    <n v="37.54"/>
    <n v="107.77"/>
    <n v="765.11"/>
    <n v="8281"/>
    <x v="0"/>
    <n v="3269.8199999999997"/>
    <n v="0.39485810892404294"/>
    <n v="1588.2199999999998"/>
    <n v="808.71999999999991"/>
    <n v="765.11"/>
    <n v="107.77"/>
    <n v="2396.9399999999996"/>
    <n v="872.88"/>
  </r>
  <r>
    <n v="754.81"/>
    <n v="590.70000000000005"/>
    <n v="655.69"/>
    <n v="228.98"/>
    <n v="495.76"/>
    <n v="821.56"/>
    <n v="8724"/>
    <x v="0"/>
    <n v="3547.4999999999995"/>
    <n v="0.40663686382393394"/>
    <n v="1345.51"/>
    <n v="884.67000000000007"/>
    <n v="821.56"/>
    <n v="495.76"/>
    <n v="2230.1800000000003"/>
    <n v="1317.32"/>
  </r>
  <r>
    <n v="936.41"/>
    <n v="624.97"/>
    <n v="178.87"/>
    <n v="99.33"/>
    <n v="899.69"/>
    <n v="423.56"/>
    <n v="7054"/>
    <x v="0"/>
    <n v="3162.83"/>
    <n v="0.44837397221434644"/>
    <n v="1561.38"/>
    <n v="278.2"/>
    <n v="423.56"/>
    <n v="899.69"/>
    <n v="1839.5800000000002"/>
    <n v="1323.25"/>
  </r>
  <r>
    <n v="257.56"/>
    <n v="524.15"/>
    <n v="414.8"/>
    <n v="828.4"/>
    <n v="544.84"/>
    <n v="733.99"/>
    <n v="8366"/>
    <x v="0"/>
    <n v="3303.74"/>
    <n v="0.39490078890748265"/>
    <n v="781.71"/>
    <n v="1243.2"/>
    <n v="733.99"/>
    <n v="544.84"/>
    <n v="2024.91"/>
    <n v="1278.83"/>
  </r>
  <r>
    <n v="584.41"/>
    <n v="98.11"/>
    <n v="55.77"/>
    <n v="656"/>
    <n v="313.47000000000003"/>
    <n v="972.78"/>
    <n v="7455"/>
    <x v="0"/>
    <n v="2680.54"/>
    <n v="0.3595627095908786"/>
    <n v="682.52"/>
    <n v="711.77"/>
    <n v="972.78"/>
    <n v="313.47000000000003"/>
    <n v="1394.29"/>
    <n v="1286.25"/>
  </r>
  <r>
    <n v="191.11"/>
    <n v="438.26"/>
    <n v="529.16999999999996"/>
    <n v="479.65"/>
    <n v="299.81"/>
    <n v="34.17"/>
    <n v="4165"/>
    <x v="3"/>
    <n v="1972.17"/>
    <n v="0.47351020408163269"/>
    <n v="629.37"/>
    <n v="1008.8199999999999"/>
    <n v="34.17"/>
    <n v="299.81"/>
    <n v="1638.19"/>
    <n v="333.98"/>
  </r>
  <r>
    <n v="147.88999999999999"/>
    <n v="256.27999999999997"/>
    <n v="444.81"/>
    <n v="77.17"/>
    <n v="736.17"/>
    <n v="937.95"/>
    <n v="6559"/>
    <x v="1"/>
    <n v="2600.27"/>
    <n v="0.39644305534380242"/>
    <n v="404.16999999999996"/>
    <n v="521.98"/>
    <n v="937.95"/>
    <n v="736.17"/>
    <n v="926.15"/>
    <n v="1674.12"/>
  </r>
  <r>
    <n v="594.03"/>
    <n v="255.6"/>
    <n v="411.98"/>
    <n v="208.8"/>
    <n v="101.1"/>
    <n v="723.18"/>
    <n v="6104"/>
    <x v="1"/>
    <n v="2294.69"/>
    <n v="0.37593217562254261"/>
    <n v="849.63"/>
    <n v="620.78"/>
    <n v="723.18"/>
    <n v="101.1"/>
    <n v="1470.4099999999999"/>
    <n v="824.28"/>
  </r>
  <r>
    <n v="626.96"/>
    <n v="160.57"/>
    <n v="823.18"/>
    <n v="650.20000000000005"/>
    <n v="662.36"/>
    <n v="933.53"/>
    <n v="9144"/>
    <x v="2"/>
    <n v="3856.8"/>
    <n v="0.42178477690288718"/>
    <n v="787.53"/>
    <n v="1473.38"/>
    <n v="933.53"/>
    <n v="662.36"/>
    <n v="2260.91"/>
    <n v="1595.8899999999999"/>
  </r>
  <r>
    <n v="139.72"/>
    <n v="831.04"/>
    <n v="843.23"/>
    <n v="654.59"/>
    <n v="325.38"/>
    <n v="30.01"/>
    <n v="6176"/>
    <x v="1"/>
    <n v="2823.9700000000003"/>
    <n v="0.45724902849740939"/>
    <n v="970.76"/>
    <n v="1497.8200000000002"/>
    <n v="30.01"/>
    <n v="325.38"/>
    <n v="2468.58"/>
    <n v="355.39"/>
  </r>
  <r>
    <n v="975.65"/>
    <n v="306.3"/>
    <n v="835.84"/>
    <n v="332.31"/>
    <n v="261.19"/>
    <n v="435.6"/>
    <n v="7019"/>
    <x v="0"/>
    <n v="3146.89"/>
    <n v="0.44833879470009969"/>
    <n v="1281.95"/>
    <n v="1168.1500000000001"/>
    <n v="435.6"/>
    <n v="261.19"/>
    <n v="2450.1000000000004"/>
    <n v="696.79"/>
  </r>
  <r>
    <n v="811.16"/>
    <n v="115.99"/>
    <n v="36.909999999999997"/>
    <n v="48.41"/>
    <n v="616.23"/>
    <n v="365.65"/>
    <n v="4344"/>
    <x v="3"/>
    <n v="1994.35"/>
    <n v="0.45910451197053403"/>
    <n v="927.15"/>
    <n v="85.32"/>
    <n v="365.65"/>
    <n v="616.23"/>
    <n v="1012.47"/>
    <n v="981.88"/>
  </r>
  <r>
    <n v="217.94"/>
    <n v="588.9"/>
    <n v="811.95"/>
    <n v="617.71"/>
    <n v="922.97"/>
    <n v="525.86"/>
    <n v="8175"/>
    <x v="0"/>
    <n v="3685.3300000000004"/>
    <n v="0.45080489296636089"/>
    <n v="806.83999999999992"/>
    <n v="1429.66"/>
    <n v="525.86"/>
    <n v="922.97"/>
    <n v="2236.5"/>
    <n v="1448.83"/>
  </r>
  <r>
    <n v="783.39"/>
    <n v="185.17"/>
    <n v="997.6"/>
    <n v="578.32000000000005"/>
    <n v="811.54"/>
    <n v="119.33"/>
    <n v="6522"/>
    <x v="1"/>
    <n v="3475.35"/>
    <n v="0.53286568537258505"/>
    <n v="968.56"/>
    <n v="1575.92"/>
    <n v="119.33"/>
    <n v="811.54"/>
    <n v="2544.48"/>
    <n v="930.87"/>
  </r>
  <r>
    <n v="524.13"/>
    <n v="762.87"/>
    <n v="327.47000000000003"/>
    <n v="236.32"/>
    <n v="128.59"/>
    <n v="817.47"/>
    <n v="7848"/>
    <x v="0"/>
    <n v="2796.85"/>
    <n v="0.35637742099898062"/>
    <n v="1287"/>
    <n v="563.79"/>
    <n v="817.47"/>
    <n v="128.59"/>
    <n v="1850.79"/>
    <n v="946.06000000000006"/>
  </r>
  <r>
    <n v="374.53"/>
    <n v="344.97"/>
    <n v="553.29999999999995"/>
    <n v="589.08000000000004"/>
    <n v="649.84"/>
    <n v="984.5"/>
    <n v="8816"/>
    <x v="0"/>
    <n v="3496.2200000000003"/>
    <n v="0.39657667876588026"/>
    <n v="719.5"/>
    <n v="1142.3800000000001"/>
    <n v="984.5"/>
    <n v="649.84"/>
    <n v="1861.88"/>
    <n v="1634.3400000000001"/>
  </r>
  <r>
    <n v="506.05"/>
    <n v="293.98"/>
    <n v="145.94"/>
    <n v="299.63"/>
    <n v="819.33"/>
    <n v="20.55"/>
    <n v="3947"/>
    <x v="3"/>
    <n v="2085.48"/>
    <n v="0.52837091461869778"/>
    <n v="800.03"/>
    <n v="445.57"/>
    <n v="20.55"/>
    <n v="819.33"/>
    <n v="1245.5999999999999"/>
    <n v="839.88"/>
  </r>
  <r>
    <n v="111.67"/>
    <n v="325.81"/>
    <n v="846.96"/>
    <n v="823.89"/>
    <n v="815.57"/>
    <n v="537.87"/>
    <n v="7666"/>
    <x v="0"/>
    <n v="3461.77"/>
    <n v="0.45157448473780326"/>
    <n v="437.48"/>
    <n v="1670.85"/>
    <n v="537.87"/>
    <n v="815.57"/>
    <n v="2108.33"/>
    <n v="1353.44"/>
  </r>
  <r>
    <n v="807.13"/>
    <n v="127.07"/>
    <n v="596.9"/>
    <n v="886.41"/>
    <n v="618.66"/>
    <n v="26.23"/>
    <n v="5957"/>
    <x v="1"/>
    <n v="3062.3999999999996"/>
    <n v="0.5140842706060097"/>
    <n v="934.2"/>
    <n v="1483.31"/>
    <n v="26.23"/>
    <n v="618.66"/>
    <n v="2417.5100000000002"/>
    <n v="644.89"/>
  </r>
  <r>
    <n v="251.03"/>
    <n v="553.97"/>
    <n v="571.47"/>
    <n v="91.9"/>
    <n v="233.84"/>
    <n v="205.21"/>
    <n v="4358"/>
    <x v="3"/>
    <n v="1907.42"/>
    <n v="0.4376824231298761"/>
    <n v="805"/>
    <n v="663.37"/>
    <n v="205.21"/>
    <n v="233.84"/>
    <n v="1468.37"/>
    <n v="439.05"/>
  </r>
  <r>
    <n v="314.41000000000003"/>
    <n v="67.430000000000007"/>
    <n v="296.51"/>
    <n v="728.87"/>
    <n v="494.04"/>
    <n v="374.83"/>
    <n v="5199"/>
    <x v="1"/>
    <n v="2276.09"/>
    <n v="0.43779380650125027"/>
    <n v="381.84000000000003"/>
    <n v="1025.3800000000001"/>
    <n v="374.83"/>
    <n v="494.04"/>
    <n v="1407.2200000000003"/>
    <n v="868.87"/>
  </r>
  <r>
    <n v="347.01"/>
    <n v="103.13"/>
    <n v="275.39999999999998"/>
    <n v="711.14"/>
    <n v="23.83"/>
    <n v="138.33000000000001"/>
    <n v="3779"/>
    <x v="3"/>
    <n v="1598.8399999999997"/>
    <n v="0.42308547234718169"/>
    <n v="450.14"/>
    <n v="986.54"/>
    <n v="138.33000000000001"/>
    <n v="23.83"/>
    <n v="1436.6799999999998"/>
    <n v="162.16000000000003"/>
  </r>
  <r>
    <n v="130.31"/>
    <n v="663.36"/>
    <n v="865.77"/>
    <n v="477.86"/>
    <n v="7.27"/>
    <n v="122.8"/>
    <n v="5235"/>
    <x v="1"/>
    <n v="2267.3700000000003"/>
    <n v="0.43311747851002874"/>
    <n v="793.67000000000007"/>
    <n v="1343.63"/>
    <n v="122.8"/>
    <n v="7.27"/>
    <n v="2137.3000000000002"/>
    <n v="130.07"/>
  </r>
  <r>
    <n v="46.41"/>
    <n v="760.8"/>
    <n v="137.61000000000001"/>
    <n v="493.29"/>
    <n v="727.95"/>
    <n v="34.15"/>
    <n v="4824"/>
    <x v="3"/>
    <n v="2200.21"/>
    <n v="0.45609660033167498"/>
    <n v="807.20999999999992"/>
    <n v="630.90000000000009"/>
    <n v="34.15"/>
    <n v="727.95"/>
    <n v="1438.1100000000001"/>
    <n v="762.1"/>
  </r>
  <r>
    <n v="106.55"/>
    <n v="181.42"/>
    <n v="343.32"/>
    <n v="581.92999999999995"/>
    <n v="664.95"/>
    <n v="600.27"/>
    <n v="5934"/>
    <x v="1"/>
    <n v="2478.4399999999996"/>
    <n v="0.41766767778901243"/>
    <n v="287.96999999999997"/>
    <n v="925.25"/>
    <n v="600.27"/>
    <n v="664.95"/>
    <n v="1213.22"/>
    <n v="1265.22"/>
  </r>
  <r>
    <n v="866.83"/>
    <n v="327.32"/>
    <n v="20.61"/>
    <n v="354.38"/>
    <n v="834.56"/>
    <n v="638.98"/>
    <n v="7180"/>
    <x v="0"/>
    <n v="3042.68"/>
    <n v="0.42377158774373258"/>
    <n v="1194.1500000000001"/>
    <n v="374.99"/>
    <n v="638.98"/>
    <n v="834.56"/>
    <n v="1569.14"/>
    <n v="1473.54"/>
  </r>
  <r>
    <n v="143.05000000000001"/>
    <n v="722.7"/>
    <n v="141.99"/>
    <n v="953.58"/>
    <n v="48.53"/>
    <n v="797.64"/>
    <n v="8297"/>
    <x v="0"/>
    <n v="2807.4900000000002"/>
    <n v="0.33837411112450289"/>
    <n v="865.75"/>
    <n v="1095.5700000000002"/>
    <n v="797.64"/>
    <n v="48.53"/>
    <n v="1961.3200000000002"/>
    <n v="846.17"/>
  </r>
  <r>
    <n v="428.61"/>
    <n v="610.14"/>
    <n v="959.11"/>
    <n v="583.57000000000005"/>
    <n v="524.53"/>
    <n v="617.94000000000005"/>
    <n v="8683"/>
    <x v="0"/>
    <n v="3723.9"/>
    <n v="0.42887250950132444"/>
    <n v="1038.75"/>
    <n v="1542.68"/>
    <n v="617.94000000000005"/>
    <n v="524.53"/>
    <n v="2581.4300000000003"/>
    <n v="1142.47"/>
  </r>
  <r>
    <n v="70.41"/>
    <n v="957.97"/>
    <n v="459.46"/>
    <n v="384.3"/>
    <n v="624.25"/>
    <n v="325.35000000000002"/>
    <n v="6724"/>
    <x v="1"/>
    <n v="2821.7400000000002"/>
    <n v="0.41965199286139204"/>
    <n v="1028.3800000000001"/>
    <n v="843.76"/>
    <n v="325.35000000000002"/>
    <n v="624.25"/>
    <n v="1872.14"/>
    <n v="949.6"/>
  </r>
  <r>
    <n v="981.93"/>
    <n v="6.37"/>
    <n v="686.03"/>
    <n v="398.59"/>
    <n v="177.39"/>
    <n v="912.46"/>
    <n v="7869"/>
    <x v="0"/>
    <n v="3162.77"/>
    <n v="0.40192781802007876"/>
    <n v="988.3"/>
    <n v="1084.6199999999999"/>
    <n v="912.46"/>
    <n v="177.39"/>
    <n v="2072.92"/>
    <n v="1089.8499999999999"/>
  </r>
  <r>
    <n v="482.12"/>
    <n v="964.76"/>
    <n v="408.23"/>
    <n v="284.39"/>
    <n v="497.79"/>
    <n v="30.48"/>
    <n v="5897"/>
    <x v="1"/>
    <n v="2667.77"/>
    <n v="0.45239443784975408"/>
    <n v="1446.88"/>
    <n v="692.62"/>
    <n v="30.48"/>
    <n v="497.79"/>
    <n v="2139.5"/>
    <n v="528.27"/>
  </r>
  <r>
    <n v="952.76"/>
    <n v="419.16"/>
    <n v="154.41"/>
    <n v="325.73"/>
    <n v="696.88"/>
    <n v="839.26"/>
    <n v="8396"/>
    <x v="0"/>
    <n v="3388.2"/>
    <n v="0.40354930919485466"/>
    <n v="1371.92"/>
    <n v="480.14"/>
    <n v="839.26"/>
    <n v="696.88"/>
    <n v="1852.06"/>
    <n v="1536.1399999999999"/>
  </r>
  <r>
    <n v="671.4"/>
    <n v="440.07"/>
    <n v="891.2"/>
    <n v="496.54"/>
    <n v="168.1"/>
    <n v="693.94"/>
    <n v="8230"/>
    <x v="0"/>
    <n v="3361.25"/>
    <n v="0.40841433778857839"/>
    <n v="1111.47"/>
    <n v="1387.74"/>
    <n v="693.94"/>
    <n v="168.1"/>
    <n v="2499.21"/>
    <n v="862.04000000000008"/>
  </r>
  <r>
    <n v="945.81"/>
    <n v="130.71"/>
    <n v="138.81"/>
    <n v="289.98"/>
    <n v="113.67"/>
    <n v="528.82000000000005"/>
    <n v="5476"/>
    <x v="1"/>
    <n v="2147.8000000000002"/>
    <n v="0.39222059897735578"/>
    <n v="1076.52"/>
    <n v="428.79"/>
    <n v="528.82000000000005"/>
    <n v="113.67"/>
    <n v="1505.31"/>
    <n v="642.49"/>
  </r>
  <r>
    <n v="769.35"/>
    <n v="155.06"/>
    <n v="481.46"/>
    <n v="769.67"/>
    <n v="87.96"/>
    <n v="132.66999999999999"/>
    <n v="5280"/>
    <x v="1"/>
    <n v="2396.17"/>
    <n v="0.45382007575757577"/>
    <n v="924.41000000000008"/>
    <n v="1251.1299999999999"/>
    <n v="132.66999999999999"/>
    <n v="87.96"/>
    <n v="2175.54"/>
    <n v="220.63"/>
  </r>
  <r>
    <n v="810.69"/>
    <n v="34.08"/>
    <n v="738.91"/>
    <n v="962.41"/>
    <n v="77.52"/>
    <n v="581.26"/>
    <n v="7659"/>
    <x v="0"/>
    <n v="3204.87"/>
    <n v="0.41844496670583625"/>
    <n v="844.7700000000001"/>
    <n v="1701.32"/>
    <n v="581.26"/>
    <n v="77.52"/>
    <n v="2546.09"/>
    <n v="658.78"/>
  </r>
  <r>
    <n v="913.39"/>
    <n v="157.33000000000001"/>
    <n v="463.79"/>
    <n v="946.4"/>
    <n v="13.05"/>
    <n v="406.3"/>
    <n v="7006"/>
    <x v="0"/>
    <n v="2900.26"/>
    <n v="0.41396802740508137"/>
    <n v="1070.72"/>
    <n v="1410.19"/>
    <n v="406.3"/>
    <n v="13.05"/>
    <n v="2480.91"/>
    <n v="419.35"/>
  </r>
  <r>
    <n v="141.9"/>
    <n v="152.56"/>
    <n v="943.03"/>
    <n v="410.78"/>
    <n v="185.91"/>
    <n v="661.03"/>
    <n v="6045"/>
    <x v="1"/>
    <n v="2495.21"/>
    <n v="0.41277253928866831"/>
    <n v="294.46000000000004"/>
    <n v="1353.81"/>
    <n v="661.03"/>
    <n v="185.91"/>
    <n v="1648.27"/>
    <n v="846.93999999999994"/>
  </r>
  <r>
    <n v="4.33"/>
    <n v="593.79"/>
    <n v="71.45"/>
    <n v="454.6"/>
    <n v="980.12"/>
    <n v="295.33"/>
    <n v="5386"/>
    <x v="1"/>
    <n v="2399.62"/>
    <n v="0.44552914964723356"/>
    <n v="598.12"/>
    <n v="526.05000000000007"/>
    <n v="295.33"/>
    <n v="980.12"/>
    <n v="1124.17"/>
    <n v="1275.45"/>
  </r>
  <r>
    <n v="224.05"/>
    <n v="637.58000000000004"/>
    <n v="183.57"/>
    <n v="184.65"/>
    <n v="264.44"/>
    <n v="87.95"/>
    <n v="3765"/>
    <x v="3"/>
    <n v="1582.2400000000002"/>
    <n v="0.42024966799468799"/>
    <n v="861.63000000000011"/>
    <n v="368.22"/>
    <n v="87.95"/>
    <n v="264.44"/>
    <n v="1229.8500000000001"/>
    <n v="352.39"/>
  </r>
  <r>
    <n v="930.75"/>
    <n v="560.91"/>
    <n v="727.85"/>
    <n v="166.23"/>
    <n v="961.25"/>
    <n v="919.77"/>
    <n v="9874"/>
    <x v="2"/>
    <n v="4266.76"/>
    <n v="0.43212072108567956"/>
    <n v="1491.6599999999999"/>
    <n v="894.08"/>
    <n v="919.77"/>
    <n v="961.25"/>
    <n v="2385.7399999999998"/>
    <n v="1881.02"/>
  </r>
  <r>
    <n v="479.78"/>
    <n v="387.17"/>
    <n v="447.56"/>
    <n v="226.57"/>
    <n v="527.55999999999995"/>
    <n v="676.01"/>
    <n v="6693"/>
    <x v="1"/>
    <n v="2744.6499999999996"/>
    <n v="0.41007769311220671"/>
    <n v="866.95"/>
    <n v="674.13"/>
    <n v="676.01"/>
    <n v="527.55999999999995"/>
    <n v="1541.08"/>
    <n v="1203.57"/>
  </r>
  <r>
    <n v="904.41"/>
    <n v="309.92"/>
    <n v="892.82"/>
    <n v="39.880000000000003"/>
    <n v="675.5"/>
    <n v="451.65"/>
    <n v="6797"/>
    <x v="1"/>
    <n v="3274.1800000000003"/>
    <n v="0.48170957775489193"/>
    <n v="1214.33"/>
    <n v="932.7"/>
    <n v="451.65"/>
    <n v="675.5"/>
    <n v="2147.0299999999997"/>
    <n v="1127.1500000000001"/>
  </r>
  <r>
    <n v="649.55999999999995"/>
    <n v="473.91"/>
    <n v="390.02"/>
    <n v="660.73"/>
    <n v="565.49"/>
    <n v="978.82"/>
    <n v="9540"/>
    <x v="2"/>
    <n v="3718.53"/>
    <n v="0.38978301886792455"/>
    <n v="1123.47"/>
    <n v="1050.75"/>
    <n v="978.82"/>
    <n v="565.49"/>
    <n v="2174.2200000000003"/>
    <n v="1544.31"/>
  </r>
  <r>
    <n v="811.14"/>
    <n v="506.9"/>
    <n v="860.52"/>
    <n v="123.44"/>
    <n v="96.87"/>
    <n v="189.13"/>
    <n v="5606"/>
    <x v="1"/>
    <n v="2588"/>
    <n v="0.46164823403496252"/>
    <n v="1318.04"/>
    <n v="983.96"/>
    <n v="189.13"/>
    <n v="96.87"/>
    <n v="2302"/>
    <n v="286"/>
  </r>
  <r>
    <n v="858.89"/>
    <n v="724.24"/>
    <n v="890.81"/>
    <n v="472.84"/>
    <n v="74.94"/>
    <n v="662.99"/>
    <n v="9156"/>
    <x v="2"/>
    <n v="3684.71"/>
    <n v="0.40243665356050679"/>
    <n v="1583.13"/>
    <n v="1363.6499999999999"/>
    <n v="662.99"/>
    <n v="74.94"/>
    <n v="2946.7799999999997"/>
    <n v="737.93000000000006"/>
  </r>
  <r>
    <n v="642.89"/>
    <n v="203.27"/>
    <n v="769.51"/>
    <n v="475.05"/>
    <n v="732.54"/>
    <n v="150.62"/>
    <n v="5729"/>
    <x v="1"/>
    <n v="2973.88"/>
    <n v="0.51909233723162862"/>
    <n v="846.16"/>
    <n v="1244.56"/>
    <n v="150.62"/>
    <n v="732.54"/>
    <n v="2090.7199999999998"/>
    <n v="883.16"/>
  </r>
  <r>
    <n v="978.38"/>
    <n v="847.76"/>
    <n v="438.63"/>
    <n v="151.49"/>
    <n v="155.02000000000001"/>
    <n v="6.74"/>
    <n v="5735"/>
    <x v="1"/>
    <n v="2578.02"/>
    <n v="0.44952397558849172"/>
    <n v="1826.1399999999999"/>
    <n v="590.12"/>
    <n v="6.74"/>
    <n v="155.02000000000001"/>
    <n v="2416.2599999999998"/>
    <n v="161.76000000000002"/>
  </r>
  <r>
    <n v="560.02"/>
    <n v="772.26"/>
    <n v="349.56"/>
    <n v="996.16"/>
    <n v="360.7"/>
    <n v="757.59"/>
    <n v="9901"/>
    <x v="2"/>
    <n v="3796.29"/>
    <n v="0.38342490657509343"/>
    <n v="1332.28"/>
    <n v="1345.72"/>
    <n v="757.59"/>
    <n v="360.7"/>
    <n v="2678"/>
    <n v="1118.29"/>
  </r>
  <r>
    <n v="237.2"/>
    <n v="299.47000000000003"/>
    <n v="798.66"/>
    <n v="268.19"/>
    <n v="100.13"/>
    <n v="828.94"/>
    <n v="6667"/>
    <x v="1"/>
    <n v="2532.59"/>
    <n v="0.37986950652467377"/>
    <n v="536.67000000000007"/>
    <n v="1066.8499999999999"/>
    <n v="828.94"/>
    <n v="100.13"/>
    <n v="1603.52"/>
    <n v="929.07"/>
  </r>
  <r>
    <n v="461.89"/>
    <n v="638.91"/>
    <n v="566.4"/>
    <n v="48"/>
    <n v="677.84"/>
    <n v="907.75"/>
    <n v="8248"/>
    <x v="0"/>
    <n v="3300.79"/>
    <n v="0.4001927740058196"/>
    <n v="1100.8"/>
    <n v="614.4"/>
    <n v="907.75"/>
    <n v="677.84"/>
    <n v="1715.1999999999998"/>
    <n v="1585.5900000000001"/>
  </r>
  <r>
    <n v="928.46"/>
    <n v="525.72"/>
    <n v="584.62"/>
    <n v="709.57"/>
    <n v="351.45"/>
    <n v="392.49"/>
    <n v="8098"/>
    <x v="0"/>
    <n v="3492.3100000000004"/>
    <n v="0.43125586564583851"/>
    <n v="1454.18"/>
    <n v="1294.19"/>
    <n v="392.49"/>
    <n v="351.45"/>
    <n v="2748.37"/>
    <n v="743.94"/>
  </r>
  <r>
    <n v="529.95000000000005"/>
    <n v="191.3"/>
    <n v="89.94"/>
    <n v="28.84"/>
    <n v="507.41"/>
    <n v="256.91000000000003"/>
    <n v="3473"/>
    <x v="3"/>
    <n v="1604.3500000000001"/>
    <n v="0.4619493233515693"/>
    <n v="721.25"/>
    <n v="118.78"/>
    <n v="256.91000000000003"/>
    <n v="507.41"/>
    <n v="840.03"/>
    <n v="764.32"/>
  </r>
  <r>
    <n v="723.93"/>
    <n v="437.97"/>
    <n v="54.43"/>
    <n v="877.91"/>
    <n v="454.95"/>
    <n v="791.16"/>
    <n v="8753"/>
    <x v="0"/>
    <n v="3340.35"/>
    <n v="0.38162344339083742"/>
    <n v="1161.9000000000001"/>
    <n v="932.33999999999992"/>
    <n v="791.16"/>
    <n v="454.95"/>
    <n v="2094.2399999999998"/>
    <n v="1246.1099999999999"/>
  </r>
  <r>
    <n v="502.27"/>
    <n v="606.1"/>
    <n v="113.8"/>
    <n v="589.36"/>
    <n v="359.02"/>
    <n v="878.2"/>
    <n v="8391"/>
    <x v="0"/>
    <n v="3048.75"/>
    <n v="0.36333571683947086"/>
    <n v="1108.3699999999999"/>
    <n v="703.16"/>
    <n v="878.2"/>
    <n v="359.02"/>
    <n v="1811.5299999999997"/>
    <n v="1237.22"/>
  </r>
  <r>
    <n v="152.72"/>
    <n v="72.900000000000006"/>
    <n v="746.8"/>
    <n v="295.79000000000002"/>
    <n v="708.24"/>
    <n v="274.36"/>
    <n v="4333"/>
    <x v="3"/>
    <n v="2250.81"/>
    <n v="0.51945765058850679"/>
    <n v="225.62"/>
    <n v="1042.5899999999999"/>
    <n v="274.36"/>
    <n v="708.24"/>
    <n v="1268.21"/>
    <n v="982.6"/>
  </r>
  <r>
    <n v="920.76"/>
    <n v="365.45"/>
    <n v="142.94999999999999"/>
    <n v="416.52"/>
    <n v="875.27"/>
    <n v="365.21"/>
    <n v="6708"/>
    <x v="1"/>
    <n v="3086.16"/>
    <n v="0.46007155635062608"/>
    <n v="1286.21"/>
    <n v="559.47"/>
    <n v="365.21"/>
    <n v="875.27"/>
    <n v="1845.68"/>
    <n v="1240.48"/>
  </r>
  <r>
    <n v="48.31"/>
    <n v="555.19000000000005"/>
    <n v="305.47000000000003"/>
    <n v="753.44"/>
    <n v="174.5"/>
    <n v="139.46"/>
    <n v="4878"/>
    <x v="3"/>
    <n v="1976.3700000000001"/>
    <n v="0.40515990159901599"/>
    <n v="603.5"/>
    <n v="1058.9100000000001"/>
    <n v="139.46"/>
    <n v="174.5"/>
    <n v="1662.41"/>
    <n v="313.96000000000004"/>
  </r>
  <r>
    <n v="622.53"/>
    <n v="104.12"/>
    <n v="565.1"/>
    <n v="584.88"/>
    <n v="332.65"/>
    <n v="574.29999999999995"/>
    <n v="6561"/>
    <x v="1"/>
    <n v="2783.58"/>
    <n v="0.42426154549611339"/>
    <n v="726.65"/>
    <n v="1149.98"/>
    <n v="574.29999999999995"/>
    <n v="332.65"/>
    <n v="1876.63"/>
    <n v="906.94999999999993"/>
  </r>
  <r>
    <n v="781.27"/>
    <n v="786.72"/>
    <n v="132.53"/>
    <n v="557.25"/>
    <n v="486.25"/>
    <n v="619.96"/>
    <n v="8574"/>
    <x v="0"/>
    <n v="3363.98"/>
    <n v="0.39234662934452996"/>
    <n v="1567.99"/>
    <n v="689.78"/>
    <n v="619.96"/>
    <n v="486.25"/>
    <n v="2257.77"/>
    <n v="1106.21"/>
  </r>
  <r>
    <n v="44.77"/>
    <n v="462.32"/>
    <n v="137.03"/>
    <n v="466.47"/>
    <n v="897.51"/>
    <n v="546.67999999999995"/>
    <n v="6110"/>
    <x v="1"/>
    <n v="2554.7800000000002"/>
    <n v="0.41813093289689035"/>
    <n v="507.09"/>
    <n v="603.5"/>
    <n v="546.67999999999995"/>
    <n v="897.51"/>
    <n v="1110.5899999999999"/>
    <n v="1444.19"/>
  </r>
  <r>
    <n v="777.1"/>
    <n v="202.09"/>
    <n v="699.92"/>
    <n v="244.74"/>
    <n v="471.08"/>
    <n v="920.77"/>
    <n v="8088"/>
    <x v="0"/>
    <n v="3315.7000000000003"/>
    <n v="0.40995301681503465"/>
    <n v="979.19"/>
    <n v="944.66"/>
    <n v="920.77"/>
    <n v="471.08"/>
    <n v="1923.85"/>
    <n v="1391.85"/>
  </r>
  <r>
    <n v="945.34"/>
    <n v="825.89"/>
    <n v="772.2"/>
    <n v="677.43"/>
    <n v="401.26"/>
    <n v="837.18"/>
    <n v="11062"/>
    <x v="2"/>
    <n v="4459.3"/>
    <n v="0.40311878502983189"/>
    <n v="1771.23"/>
    <n v="1449.63"/>
    <n v="837.18"/>
    <n v="401.26"/>
    <n v="3220.86"/>
    <n v="1238.44"/>
  </r>
  <r>
    <n v="993.92"/>
    <n v="283.52"/>
    <n v="528.13"/>
    <n v="578.70000000000005"/>
    <n v="529.23"/>
    <n v="80.86"/>
    <n v="6026"/>
    <x v="1"/>
    <n v="2994.3600000000006"/>
    <n v="0.49690673747095926"/>
    <n v="1277.44"/>
    <n v="1106.83"/>
    <n v="80.86"/>
    <n v="529.23"/>
    <n v="2384.27"/>
    <n v="610.09"/>
  </r>
  <r>
    <n v="867.03"/>
    <n v="842.62"/>
    <n v="524.35"/>
    <n v="861.16"/>
    <n v="57.55"/>
    <n v="833.93"/>
    <n v="10585"/>
    <x v="2"/>
    <n v="3986.64"/>
    <n v="0.37663108171941423"/>
    <n v="1709.65"/>
    <n v="1385.51"/>
    <n v="833.93"/>
    <n v="57.55"/>
    <n v="3095.16"/>
    <n v="891.4799999999999"/>
  </r>
  <r>
    <n v="808.06"/>
    <n v="485.57"/>
    <n v="974.78"/>
    <n v="811.9"/>
    <n v="103.54"/>
    <n v="436"/>
    <n v="8429"/>
    <x v="0"/>
    <n v="3619.85"/>
    <n v="0.42945189227666386"/>
    <n v="1293.6299999999999"/>
    <n v="1786.6799999999998"/>
    <n v="436"/>
    <n v="103.54"/>
    <n v="3080.3099999999995"/>
    <n v="539.54"/>
  </r>
  <r>
    <n v="838.61"/>
    <n v="472.36"/>
    <n v="451.52"/>
    <n v="852.62"/>
    <n v="34.9"/>
    <n v="664.99"/>
    <n v="8609"/>
    <x v="0"/>
    <n v="3315"/>
    <n v="0.38506214426762692"/>
    <n v="1310.97"/>
    <n v="1304.1399999999999"/>
    <n v="664.99"/>
    <n v="34.9"/>
    <n v="2615.1099999999997"/>
    <n v="699.89"/>
  </r>
  <r>
    <n v="993.84"/>
    <n v="276.72000000000003"/>
    <n v="405.45"/>
    <n v="334.76"/>
    <n v="95.3"/>
    <n v="398.06"/>
    <n v="5970"/>
    <x v="1"/>
    <n v="2504.13"/>
    <n v="0.41945226130653268"/>
    <n v="1270.56"/>
    <n v="740.21"/>
    <n v="398.06"/>
    <n v="95.3"/>
    <n v="2010.77"/>
    <n v="493.36"/>
  </r>
  <r>
    <n v="178.84"/>
    <n v="213.36"/>
    <n v="752.21"/>
    <n v="42.51"/>
    <n v="156.04"/>
    <n v="419.79"/>
    <n v="4089"/>
    <x v="3"/>
    <n v="1762.75"/>
    <n v="0.43109562240156518"/>
    <n v="392.20000000000005"/>
    <n v="794.72"/>
    <n v="419.79"/>
    <n v="156.04"/>
    <n v="1186.92"/>
    <n v="575.83000000000004"/>
  </r>
  <r>
    <n v="380.57"/>
    <n v="108.41"/>
    <n v="592.38"/>
    <n v="723.51"/>
    <n v="524.08000000000004"/>
    <n v="177.85"/>
    <n v="5132"/>
    <x v="1"/>
    <n v="2506.8000000000002"/>
    <n v="0.48846453624318009"/>
    <n v="488.98"/>
    <n v="1315.8899999999999"/>
    <n v="177.85"/>
    <n v="524.08000000000004"/>
    <n v="1804.87"/>
    <n v="701.93000000000006"/>
  </r>
  <r>
    <n v="858.69"/>
    <n v="922.49"/>
    <n v="694.91"/>
    <n v="121.48"/>
    <n v="368.16"/>
    <n v="788.05"/>
    <n v="9431"/>
    <x v="2"/>
    <n v="3753.7799999999997"/>
    <n v="0.39802566005725798"/>
    <n v="1781.18"/>
    <n v="816.39"/>
    <n v="788.05"/>
    <n v="368.16"/>
    <n v="2597.5700000000002"/>
    <n v="1156.21"/>
  </r>
  <r>
    <n v="696.38"/>
    <n v="590.16"/>
    <n v="651.28"/>
    <n v="202.29"/>
    <n v="51.87"/>
    <n v="956.28"/>
    <n v="8533"/>
    <x v="0"/>
    <n v="3148.26"/>
    <n v="0.36895113090355097"/>
    <n v="1286.54"/>
    <n v="853.56999999999994"/>
    <n v="956.28"/>
    <n v="51.87"/>
    <n v="2140.1099999999997"/>
    <n v="1008.15"/>
  </r>
  <r>
    <n v="408.35"/>
    <n v="581.63"/>
    <n v="205.67"/>
    <n v="712.51"/>
    <n v="102.98"/>
    <n v="534.6"/>
    <n v="6912"/>
    <x v="1"/>
    <n v="2545.7400000000002"/>
    <n v="0.3683072916666667"/>
    <n v="989.98"/>
    <n v="918.18"/>
    <n v="534.6"/>
    <n v="102.98"/>
    <n v="1908.1599999999999"/>
    <n v="637.58000000000004"/>
  </r>
  <r>
    <n v="265.94"/>
    <n v="768.47"/>
    <n v="756.8"/>
    <n v="891.25"/>
    <n v="481.1"/>
    <n v="179.55"/>
    <n v="7495"/>
    <x v="0"/>
    <n v="3343.11"/>
    <n v="0.44604536357571717"/>
    <n v="1034.4100000000001"/>
    <n v="1648.05"/>
    <n v="179.55"/>
    <n v="481.1"/>
    <n v="2682.46"/>
    <n v="660.65000000000009"/>
  </r>
  <r>
    <n v="480.67"/>
    <n v="135.75"/>
    <n v="82.66"/>
    <n v="217.72"/>
    <n v="217.9"/>
    <n v="15.41"/>
    <n v="2353"/>
    <x v="3"/>
    <n v="1150.1100000000001"/>
    <n v="0.48878453038674041"/>
    <n v="616.42000000000007"/>
    <n v="300.38"/>
    <n v="15.41"/>
    <n v="217.9"/>
    <n v="916.80000000000007"/>
    <n v="233.31"/>
  </r>
  <r>
    <n v="746.29"/>
    <n v="925.8"/>
    <n v="988.98"/>
    <n v="229.34"/>
    <n v="282.95"/>
    <n v="449.15"/>
    <n v="8488"/>
    <x v="0"/>
    <n v="3622.5099999999998"/>
    <n v="0.42678016022620169"/>
    <n v="1672.09"/>
    <n v="1218.32"/>
    <n v="449.15"/>
    <n v="282.95"/>
    <n v="2890.41"/>
    <n v="732.09999999999991"/>
  </r>
  <r>
    <n v="640.69000000000005"/>
    <n v="966.63"/>
    <n v="624.12"/>
    <n v="948.97"/>
    <n v="480.16"/>
    <n v="651.30999999999995"/>
    <n v="10655"/>
    <x v="2"/>
    <n v="4311.8799999999992"/>
    <n v="0.40468137024870943"/>
    <n v="1607.3200000000002"/>
    <n v="1573.0900000000001"/>
    <n v="651.30999999999995"/>
    <n v="480.16"/>
    <n v="3180.4100000000003"/>
    <n v="1131.47"/>
  </r>
  <r>
    <n v="990.33"/>
    <n v="642.99"/>
    <n v="823.74"/>
    <n v="986.35"/>
    <n v="422.92"/>
    <n v="14.64"/>
    <n v="8169"/>
    <x v="0"/>
    <n v="3880.9700000000003"/>
    <n v="0.47508507773289266"/>
    <n v="1633.3200000000002"/>
    <n v="1810.0900000000001"/>
    <n v="14.64"/>
    <n v="422.92"/>
    <n v="3443.4100000000003"/>
    <n v="437.56"/>
  </r>
  <r>
    <n v="384.82"/>
    <n v="879.57"/>
    <n v="735.47"/>
    <n v="872.34"/>
    <n v="371.94"/>
    <n v="41.79"/>
    <n v="7308"/>
    <x v="0"/>
    <n v="3285.9300000000003"/>
    <n v="0.44963464696223321"/>
    <n v="1264.3900000000001"/>
    <n v="1607.81"/>
    <n v="41.79"/>
    <n v="371.94"/>
    <n v="2872.2"/>
    <n v="413.73"/>
  </r>
  <r>
    <n v="355.88"/>
    <n v="450.45"/>
    <n v="883.78"/>
    <n v="362.08"/>
    <n v="757.46"/>
    <n v="403.82"/>
    <n v="6828"/>
    <x v="1"/>
    <n v="3213.4700000000003"/>
    <n v="0.47063122437024024"/>
    <n v="806.32999999999993"/>
    <n v="1245.8599999999999"/>
    <n v="403.82"/>
    <n v="757.46"/>
    <n v="2052.1899999999996"/>
    <n v="1161.28"/>
  </r>
  <r>
    <n v="958.24"/>
    <n v="771.17"/>
    <n v="69.459999999999994"/>
    <n v="868.58"/>
    <n v="649.5"/>
    <n v="773.38"/>
    <n v="10387"/>
    <x v="2"/>
    <n v="4090.33"/>
    <n v="0.39379320304226434"/>
    <n v="1729.4099999999999"/>
    <n v="938.04000000000008"/>
    <n v="773.38"/>
    <n v="649.5"/>
    <n v="2667.45"/>
    <n v="1422.88"/>
  </r>
  <r>
    <n v="40.81"/>
    <n v="863.64"/>
    <n v="580.23"/>
    <n v="852.48"/>
    <n v="548.47"/>
    <n v="725.71"/>
    <n v="9244"/>
    <x v="2"/>
    <n v="3611.34"/>
    <n v="0.39066854175681526"/>
    <n v="904.45"/>
    <n v="1432.71"/>
    <n v="725.71"/>
    <n v="548.47"/>
    <n v="2337.16"/>
    <n v="1274.18"/>
  </r>
  <r>
    <n v="225.69"/>
    <n v="971.12"/>
    <n v="357.07"/>
    <n v="932.19"/>
    <n v="165.56"/>
    <n v="307.39999999999998"/>
    <n v="7656"/>
    <x v="0"/>
    <n v="2959.0299999999997"/>
    <n v="0.386498171368861"/>
    <n v="1196.81"/>
    <n v="1289.26"/>
    <n v="307.39999999999998"/>
    <n v="165.56"/>
    <n v="2486.0699999999997"/>
    <n v="472.96"/>
  </r>
  <r>
    <n v="138.83000000000001"/>
    <n v="389.62"/>
    <n v="804.53"/>
    <n v="587.20000000000005"/>
    <n v="436.57"/>
    <n v="95.75"/>
    <n v="5029"/>
    <x v="1"/>
    <n v="2452.5"/>
    <n v="0.48767150526943726"/>
    <n v="528.45000000000005"/>
    <n v="1391.73"/>
    <n v="95.75"/>
    <n v="436.57"/>
    <n v="1920.18"/>
    <n v="532.31999999999994"/>
  </r>
  <r>
    <n v="79.680000000000007"/>
    <n v="657.09"/>
    <n v="738.08"/>
    <n v="360.38"/>
    <n v="145.03"/>
    <n v="827.38"/>
    <n v="7617"/>
    <x v="0"/>
    <n v="2807.64"/>
    <n v="0.36860181173690426"/>
    <n v="736.77"/>
    <n v="1098.46"/>
    <n v="827.38"/>
    <n v="145.03"/>
    <n v="1835.23"/>
    <n v="972.41"/>
  </r>
  <r>
    <n v="594.84"/>
    <n v="79.44"/>
    <n v="172.14"/>
    <n v="622.86"/>
    <n v="795"/>
    <n v="909.79"/>
    <n v="7850"/>
    <x v="0"/>
    <n v="3174.0699999999997"/>
    <n v="0.40434012738853498"/>
    <n v="674.28"/>
    <n v="795"/>
    <n v="909.79"/>
    <n v="795"/>
    <n v="1469.28"/>
    <n v="1704.79"/>
  </r>
  <r>
    <n v="947.72"/>
    <n v="653.82000000000005"/>
    <n v="879.45"/>
    <n v="979.08"/>
    <n v="304.11"/>
    <n v="92.45"/>
    <n v="8366"/>
    <x v="0"/>
    <n v="3856.6299999999997"/>
    <n v="0.46098852498207027"/>
    <n v="1601.54"/>
    <n v="1858.5300000000002"/>
    <n v="92.45"/>
    <n v="304.11"/>
    <n v="3460.07"/>
    <n v="396.56"/>
  </r>
  <r>
    <n v="708.03"/>
    <n v="846.72"/>
    <n v="425.3"/>
    <n v="555.71"/>
    <n v="208.48"/>
    <n v="144.38999999999999"/>
    <n v="6814"/>
    <x v="1"/>
    <n v="2888.63"/>
    <n v="0.42392574112122106"/>
    <n v="1554.75"/>
    <n v="981.01"/>
    <n v="144.38999999999999"/>
    <n v="208.48"/>
    <n v="2535.7600000000002"/>
    <n v="352.87"/>
  </r>
  <r>
    <n v="770.05"/>
    <n v="501.36"/>
    <n v="694.6"/>
    <n v="172.26"/>
    <n v="572.26"/>
    <n v="410.56"/>
    <n v="6851"/>
    <x v="1"/>
    <n v="3121.0899999999997"/>
    <n v="0.45556707050065681"/>
    <n v="1271.4099999999999"/>
    <n v="866.86"/>
    <n v="410.56"/>
    <n v="572.26"/>
    <n v="2138.27"/>
    <n v="982.81999999999994"/>
  </r>
  <r>
    <n v="512.38"/>
    <n v="250.83"/>
    <n v="373.78"/>
    <n v="366.95"/>
    <n v="987.14"/>
    <n v="509.03"/>
    <n v="6477"/>
    <x v="1"/>
    <n v="3000.1099999999997"/>
    <n v="0.46319438011425035"/>
    <n v="763.21"/>
    <n v="740.73"/>
    <n v="509.03"/>
    <n v="987.14"/>
    <n v="1503.94"/>
    <n v="1496.17"/>
  </r>
  <r>
    <n v="998.1"/>
    <n v="858.75"/>
    <n v="781.06"/>
    <n v="60.61"/>
    <n v="174.63"/>
    <n v="213.53"/>
    <n v="6949"/>
    <x v="1"/>
    <n v="3086.6800000000003"/>
    <n v="0.4441905310116564"/>
    <n v="1856.85"/>
    <n v="841.67"/>
    <n v="213.53"/>
    <n v="174.63"/>
    <n v="2698.52"/>
    <n v="388.15999999999997"/>
  </r>
  <r>
    <n v="322.35000000000002"/>
    <n v="681.22"/>
    <n v="640.29"/>
    <n v="343.65"/>
    <n v="534.22"/>
    <n v="648.71"/>
    <n v="7737"/>
    <x v="0"/>
    <n v="3170.4400000000005"/>
    <n v="0.40977639912110642"/>
    <n v="1003.57"/>
    <n v="983.93999999999994"/>
    <n v="648.71"/>
    <n v="534.22"/>
    <n v="1987.51"/>
    <n v="1182.93"/>
  </r>
  <r>
    <n v="476.45"/>
    <n v="884.77"/>
    <n v="301.79000000000002"/>
    <n v="802.3"/>
    <n v="434.82"/>
    <n v="401.69"/>
    <n v="8187"/>
    <x v="0"/>
    <n v="3301.82"/>
    <n v="0.40330035422010507"/>
    <n v="1361.22"/>
    <n v="1104.0899999999999"/>
    <n v="401.69"/>
    <n v="434.82"/>
    <n v="2465.31"/>
    <n v="836.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7B97D-8378-4E4C-BBF5-3A8FF5CCF53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0"/>
        <item x="2"/>
        <item t="default"/>
      </items>
    </pivotField>
    <pivotField dataField="1" showAll="0"/>
    <pivotField dataField="1" numFmtId="2" showAll="0"/>
    <pivotField showAll="0">
      <items count="301">
        <item x="145"/>
        <item x="102"/>
        <item x="40"/>
        <item x="262"/>
        <item x="195"/>
        <item x="66"/>
        <item x="231"/>
        <item x="244"/>
        <item x="88"/>
        <item x="203"/>
        <item x="176"/>
        <item x="227"/>
        <item x="275"/>
        <item x="213"/>
        <item x="146"/>
        <item x="166"/>
        <item x="143"/>
        <item x="124"/>
        <item x="224"/>
        <item x="175"/>
        <item x="74"/>
        <item x="228"/>
        <item x="90"/>
        <item x="185"/>
        <item x="23"/>
        <item x="62"/>
        <item x="276"/>
        <item x="26"/>
        <item x="267"/>
        <item x="94"/>
        <item x="198"/>
        <item x="118"/>
        <item x="78"/>
        <item x="290"/>
        <item x="130"/>
        <item x="256"/>
        <item x="37"/>
        <item x="83"/>
        <item x="58"/>
        <item x="144"/>
        <item x="149"/>
        <item x="189"/>
        <item x="152"/>
        <item x="160"/>
        <item x="245"/>
        <item x="264"/>
        <item x="191"/>
        <item x="2"/>
        <item x="80"/>
        <item x="52"/>
        <item x="281"/>
        <item x="107"/>
        <item x="113"/>
        <item x="158"/>
        <item x="212"/>
        <item x="99"/>
        <item x="197"/>
        <item x="49"/>
        <item x="194"/>
        <item x="75"/>
        <item x="155"/>
        <item x="68"/>
        <item x="139"/>
        <item x="27"/>
        <item x="292"/>
        <item x="211"/>
        <item x="36"/>
        <item x="151"/>
        <item x="156"/>
        <item x="110"/>
        <item x="22"/>
        <item x="222"/>
        <item x="259"/>
        <item x="137"/>
        <item x="265"/>
        <item x="291"/>
        <item x="202"/>
        <item x="119"/>
        <item x="57"/>
        <item x="172"/>
        <item x="16"/>
        <item x="86"/>
        <item x="296"/>
        <item x="43"/>
        <item x="71"/>
        <item x="210"/>
        <item x="105"/>
        <item x="215"/>
        <item x="190"/>
        <item x="229"/>
        <item x="163"/>
        <item x="131"/>
        <item x="223"/>
        <item x="226"/>
        <item x="286"/>
        <item x="219"/>
        <item x="230"/>
        <item x="164"/>
        <item x="0"/>
        <item x="109"/>
        <item x="50"/>
        <item x="112"/>
        <item x="14"/>
        <item x="181"/>
        <item x="242"/>
        <item x="253"/>
        <item x="24"/>
        <item x="15"/>
        <item x="214"/>
        <item x="186"/>
        <item x="117"/>
        <item x="246"/>
        <item x="233"/>
        <item x="61"/>
        <item x="248"/>
        <item x="97"/>
        <item x="28"/>
        <item x="161"/>
        <item x="21"/>
        <item x="39"/>
        <item x="89"/>
        <item x="180"/>
        <item x="174"/>
        <item x="100"/>
        <item x="288"/>
        <item x="73"/>
        <item x="159"/>
        <item x="241"/>
        <item x="103"/>
        <item x="218"/>
        <item x="41"/>
        <item x="225"/>
        <item x="35"/>
        <item x="170"/>
        <item x="7"/>
        <item x="187"/>
        <item x="179"/>
        <item x="84"/>
        <item x="3"/>
        <item x="182"/>
        <item x="114"/>
        <item x="220"/>
        <item x="216"/>
        <item x="122"/>
        <item x="268"/>
        <item x="19"/>
        <item x="59"/>
        <item x="236"/>
        <item x="279"/>
        <item x="82"/>
        <item x="53"/>
        <item x="1"/>
        <item x="298"/>
        <item x="30"/>
        <item x="116"/>
        <item x="157"/>
        <item x="206"/>
        <item x="168"/>
        <item x="235"/>
        <item x="115"/>
        <item x="171"/>
        <item x="280"/>
        <item x="204"/>
        <item x="234"/>
        <item x="70"/>
        <item x="6"/>
        <item x="48"/>
        <item x="243"/>
        <item x="29"/>
        <item x="240"/>
        <item x="192"/>
        <item x="54"/>
        <item x="257"/>
        <item x="261"/>
        <item x="200"/>
        <item x="177"/>
        <item x="239"/>
        <item x="5"/>
        <item x="250"/>
        <item x="98"/>
        <item x="154"/>
        <item x="173"/>
        <item x="9"/>
        <item x="125"/>
        <item x="72"/>
        <item x="106"/>
        <item x="85"/>
        <item x="101"/>
        <item x="51"/>
        <item x="260"/>
        <item x="18"/>
        <item x="150"/>
        <item x="138"/>
        <item x="128"/>
        <item x="167"/>
        <item x="135"/>
        <item x="65"/>
        <item x="232"/>
        <item x="289"/>
        <item x="81"/>
        <item x="249"/>
        <item x="134"/>
        <item x="127"/>
        <item x="31"/>
        <item x="169"/>
        <item x="126"/>
        <item x="44"/>
        <item x="10"/>
        <item x="133"/>
        <item x="153"/>
        <item x="199"/>
        <item x="285"/>
        <item x="274"/>
        <item x="295"/>
        <item x="45"/>
        <item x="270"/>
        <item x="162"/>
        <item x="217"/>
        <item x="34"/>
        <item x="263"/>
        <item x="278"/>
        <item x="140"/>
        <item x="221"/>
        <item x="272"/>
        <item x="121"/>
        <item x="47"/>
        <item x="273"/>
        <item x="4"/>
        <item x="251"/>
        <item x="25"/>
        <item x="95"/>
        <item x="55"/>
        <item x="42"/>
        <item x="142"/>
        <item x="255"/>
        <item x="67"/>
        <item x="188"/>
        <item x="87"/>
        <item x="208"/>
        <item x="33"/>
        <item x="299"/>
        <item x="238"/>
        <item x="60"/>
        <item x="56"/>
        <item x="76"/>
        <item x="123"/>
        <item x="38"/>
        <item x="91"/>
        <item x="13"/>
        <item x="12"/>
        <item x="8"/>
        <item x="183"/>
        <item x="205"/>
        <item x="237"/>
        <item x="258"/>
        <item x="63"/>
        <item x="201"/>
        <item x="111"/>
        <item x="193"/>
        <item x="247"/>
        <item x="147"/>
        <item x="32"/>
        <item x="132"/>
        <item x="104"/>
        <item x="46"/>
        <item x="294"/>
        <item x="209"/>
        <item x="120"/>
        <item x="266"/>
        <item x="77"/>
        <item x="252"/>
        <item x="165"/>
        <item x="136"/>
        <item x="207"/>
        <item x="293"/>
        <item x="64"/>
        <item x="196"/>
        <item x="283"/>
        <item x="79"/>
        <item x="108"/>
        <item x="96"/>
        <item x="284"/>
        <item x="282"/>
        <item x="271"/>
        <item x="287"/>
        <item x="11"/>
        <item x="141"/>
        <item x="148"/>
        <item x="178"/>
        <item x="269"/>
        <item x="184"/>
        <item x="277"/>
        <item x="129"/>
        <item x="92"/>
        <item x="69"/>
        <item x="20"/>
        <item x="93"/>
        <item x="254"/>
        <item x="17"/>
        <item x="297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product_sold_range " fld="7" subtotal="count" baseField="0" baseItem="0"/>
    <dataField name="Sum of total_spend" fld="8" baseField="0" baseItem="0"/>
    <dataField name="Average of total_spend2" fld="8" subtotal="average" baseField="7" baseItem="0"/>
    <dataField name="Average of Cost_per_sale" fld="9" subtotal="average" baseField="7" baseItem="0" numFmtId="2"/>
    <dataField name="Sum of Cost_per_sale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DC477-1AA5-467E-AFAC-DFC0812DEE0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2" showAll="0"/>
    <pivotField dataField="1" showAll="0"/>
    <pivotField dataField="1"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raditional_spend" fld="10" baseField="0" baseItem="0"/>
    <dataField name="Sum of digital_spend" fld="11" baseField="0" baseItem="0"/>
    <dataField name="Average of traditional_spend2" fld="10" subtotal="average" baseField="7" baseItem="0"/>
    <dataField name="Average of digital_spend2" fld="11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7234E-A164-4CCD-8AD0-CD89E18AFA7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9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2" showAll="0"/>
    <pivotField dataField="1" showAll="0"/>
    <pivotField showAll="0"/>
    <pivotField dataFiel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artnership_spend" fld="12" subtotal="average" baseField="7" baseItem="0"/>
    <dataField name="Average of traditional_spend" fld="10" subtotal="average" baseField="7" baseItem="0"/>
    <dataField name="Sum of traditional_spend" fld="10" baseField="0" baseItem="0"/>
    <dataField name="Sum of partnership_spen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7E851-FA83-4DDA-84DC-7828442124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2" showAll="0"/>
    <pivotField showAll="0"/>
    <pivotField dataField="1"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igital_spend" fld="11" baseField="0" baseItem="0"/>
    <dataField name="Sum of trust_spend" fld="13" baseField="0" baseItem="0"/>
    <dataField name="Average of digital_spend" fld="11" subtotal="average" baseField="7" baseItem="0"/>
    <dataField name="Average of trust_spend" fld="13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81DE0-E74A-46B8-A5B2-857508C200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N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2" showAll="0"/>
    <pivotField showAll="0"/>
    <pivotField dataField="1"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igital_spend" fld="11" subtotal="average" baseField="7" baseItem="0"/>
    <dataField name="Average of trust_spend" fld="13" subtotal="average" baseField="7" baseItem="0"/>
    <dataField name="Sum of digital_spend" fld="11" baseField="0" baseItem="0"/>
    <dataField name="Sum of trust_spen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7099C-9469-4F39-8142-9AC435A85C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2" showAll="0"/>
    <pivotField dataField="1" showAll="0"/>
    <pivotField dataField="1" showAll="0"/>
    <pivotField dataField="1"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raditional_spend" fld="10" baseField="0" baseItem="0"/>
    <dataField name="Sum of digital_spend" fld="11" baseField="0" baseItem="0"/>
    <dataField name="Sum of partnership_spend" fld="12" baseField="0" baseItem="0"/>
    <dataField name="Sum of trust_spen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FB76C-82B4-4D66-B0A8-E9812D6CC6C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E1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2" showAll="0"/>
    <pivotField dataField="1" showAll="0"/>
    <pivotField dataField="1" showAll="0"/>
    <pivotField dataField="1"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raditional_spend" fld="10" subtotal="average" baseField="7" baseItem="0"/>
    <dataField name="Average of digital_spend" fld="11" subtotal="average" baseField="7" baseItem="0"/>
    <dataField name="Average of partnership_spend" fld="12" subtotal="average" baseField="7" baseItem="0"/>
    <dataField name="Average of trust_spend" fld="13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87917-9992-4D01-8C30-D3F685FE232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16"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V" fld="0" baseField="0" baseItem="0"/>
    <dataField name="Sum of Billboards" fld="1" baseField="0" baseItem="0"/>
    <dataField name="Average of TV2" fld="0" subtotal="average" baseField="7" baseItem="0"/>
    <dataField name="Average of Billboards2" fld="1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E70D4-7270-405B-94B2-22ED986A504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dataField="1"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erformance channel" fld="14" baseField="0" baseItem="0"/>
    <dataField name="Sum of support_channels" fld="15" baseField="0" baseItem="0"/>
    <dataField name="Average of performance channel2" fld="14" subtotal="average" baseField="7" baseItem="0"/>
    <dataField name="Average of support_channels2" fld="15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C761-939E-4C35-B3F5-A5F913F5F7C9}">
  <dimension ref="A1:G301"/>
  <sheetViews>
    <sheetView tabSelected="1" topLeftCell="A139" workbookViewId="0">
      <selection activeCell="E154" sqref="E154"/>
    </sheetView>
  </sheetViews>
  <sheetFormatPr defaultRowHeight="14.5" x14ac:dyDescent="0.35"/>
  <cols>
    <col min="1" max="1" width="6.81640625" bestFit="1" customWidth="1"/>
    <col min="2" max="2" width="9.08984375" bestFit="1" customWidth="1"/>
    <col min="3" max="3" width="10.7265625" bestFit="1" customWidth="1"/>
    <col min="4" max="4" width="11.81640625" bestFit="1" customWidth="1"/>
    <col min="5" max="5" width="18.90625" bestFit="1" customWidth="1"/>
    <col min="6" max="6" width="16.81640625" bestFit="1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1.04</v>
      </c>
      <c r="B2">
        <v>19.68</v>
      </c>
      <c r="C2">
        <v>900.71</v>
      </c>
      <c r="D2">
        <v>55.67</v>
      </c>
      <c r="E2">
        <v>379.03</v>
      </c>
      <c r="F2">
        <v>63.1</v>
      </c>
      <c r="G2">
        <v>2259</v>
      </c>
    </row>
    <row r="3" spans="1:7" x14ac:dyDescent="0.35">
      <c r="A3">
        <v>480.67</v>
      </c>
      <c r="B3">
        <v>135.75</v>
      </c>
      <c r="C3">
        <v>82.66</v>
      </c>
      <c r="D3">
        <v>217.72</v>
      </c>
      <c r="E3">
        <v>217.9</v>
      </c>
      <c r="F3">
        <v>15.41</v>
      </c>
      <c r="G3">
        <v>2353</v>
      </c>
    </row>
    <row r="4" spans="1:7" x14ac:dyDescent="0.35">
      <c r="A4">
        <v>283.57</v>
      </c>
      <c r="B4">
        <v>358.42</v>
      </c>
      <c r="C4">
        <v>213.66</v>
      </c>
      <c r="D4">
        <v>29.11</v>
      </c>
      <c r="E4">
        <v>622.67999999999995</v>
      </c>
      <c r="F4">
        <v>90.42</v>
      </c>
      <c r="G4">
        <v>3141</v>
      </c>
    </row>
    <row r="5" spans="1:7" x14ac:dyDescent="0.35">
      <c r="A5">
        <v>149.78</v>
      </c>
      <c r="B5">
        <v>191.97</v>
      </c>
      <c r="C5">
        <v>558.87</v>
      </c>
      <c r="D5">
        <v>172.98</v>
      </c>
      <c r="E5">
        <v>412.79</v>
      </c>
      <c r="F5">
        <v>178.45</v>
      </c>
      <c r="G5">
        <v>3335</v>
      </c>
    </row>
    <row r="6" spans="1:7" x14ac:dyDescent="0.35">
      <c r="A6">
        <v>529.95000000000005</v>
      </c>
      <c r="B6">
        <v>191.3</v>
      </c>
      <c r="C6">
        <v>89.94</v>
      </c>
      <c r="D6">
        <v>28.84</v>
      </c>
      <c r="E6">
        <v>507.41</v>
      </c>
      <c r="F6">
        <v>256.91000000000003</v>
      </c>
      <c r="G6">
        <v>3473</v>
      </c>
    </row>
    <row r="7" spans="1:7" x14ac:dyDescent="0.35">
      <c r="A7">
        <v>165.26</v>
      </c>
      <c r="B7">
        <v>517.76</v>
      </c>
      <c r="C7">
        <v>172.03</v>
      </c>
      <c r="D7">
        <v>170.31</v>
      </c>
      <c r="E7">
        <v>169.94</v>
      </c>
      <c r="F7">
        <v>206.04</v>
      </c>
      <c r="G7">
        <v>3600</v>
      </c>
    </row>
    <row r="8" spans="1:7" x14ac:dyDescent="0.35">
      <c r="A8">
        <v>762.09</v>
      </c>
      <c r="B8">
        <v>184.57</v>
      </c>
      <c r="C8">
        <v>176.61</v>
      </c>
      <c r="D8">
        <v>97.85</v>
      </c>
      <c r="E8">
        <v>116.67</v>
      </c>
      <c r="F8">
        <v>251.74</v>
      </c>
      <c r="G8">
        <v>3726</v>
      </c>
    </row>
    <row r="9" spans="1:7" x14ac:dyDescent="0.35">
      <c r="A9">
        <v>224.05</v>
      </c>
      <c r="B9">
        <v>637.58000000000004</v>
      </c>
      <c r="C9">
        <v>183.57</v>
      </c>
      <c r="D9">
        <v>184.65</v>
      </c>
      <c r="E9">
        <v>264.44</v>
      </c>
      <c r="F9">
        <v>87.95</v>
      </c>
      <c r="G9">
        <v>3765</v>
      </c>
    </row>
    <row r="10" spans="1:7" x14ac:dyDescent="0.35">
      <c r="A10">
        <v>347.01</v>
      </c>
      <c r="B10">
        <v>103.13</v>
      </c>
      <c r="C10">
        <v>275.39999999999998</v>
      </c>
      <c r="D10">
        <v>711.14</v>
      </c>
      <c r="E10">
        <v>23.83</v>
      </c>
      <c r="F10">
        <v>138.33000000000001</v>
      </c>
      <c r="G10">
        <v>3779</v>
      </c>
    </row>
    <row r="11" spans="1:7" x14ac:dyDescent="0.35">
      <c r="A11">
        <v>36.04</v>
      </c>
      <c r="B11">
        <v>423.25</v>
      </c>
      <c r="C11">
        <v>166.91</v>
      </c>
      <c r="D11">
        <v>222.02</v>
      </c>
      <c r="E11">
        <v>598.42999999999995</v>
      </c>
      <c r="F11">
        <v>247.19</v>
      </c>
      <c r="G11">
        <v>3878</v>
      </c>
    </row>
    <row r="12" spans="1:7" x14ac:dyDescent="0.35">
      <c r="A12">
        <v>506.05</v>
      </c>
      <c r="B12">
        <v>293.98</v>
      </c>
      <c r="C12">
        <v>145.94</v>
      </c>
      <c r="D12">
        <v>299.63</v>
      </c>
      <c r="E12">
        <v>819.33</v>
      </c>
      <c r="F12">
        <v>20.55</v>
      </c>
      <c r="G12">
        <v>3947</v>
      </c>
    </row>
    <row r="13" spans="1:7" x14ac:dyDescent="0.35">
      <c r="A13">
        <v>590.98</v>
      </c>
      <c r="B13">
        <v>3.63</v>
      </c>
      <c r="C13">
        <v>486.88</v>
      </c>
      <c r="D13">
        <v>95.81</v>
      </c>
      <c r="E13">
        <v>119.34</v>
      </c>
      <c r="F13">
        <v>409.45</v>
      </c>
      <c r="G13">
        <v>3956</v>
      </c>
    </row>
    <row r="14" spans="1:7" x14ac:dyDescent="0.35">
      <c r="A14">
        <v>178.84</v>
      </c>
      <c r="B14">
        <v>213.36</v>
      </c>
      <c r="C14">
        <v>752.21</v>
      </c>
      <c r="D14">
        <v>42.51</v>
      </c>
      <c r="E14">
        <v>156.04</v>
      </c>
      <c r="F14">
        <v>419.79</v>
      </c>
      <c r="G14">
        <v>4089</v>
      </c>
    </row>
    <row r="15" spans="1:7" x14ac:dyDescent="0.35">
      <c r="A15">
        <v>344.11</v>
      </c>
      <c r="B15">
        <v>179.19</v>
      </c>
      <c r="C15">
        <v>30.19</v>
      </c>
      <c r="D15">
        <v>535.22</v>
      </c>
      <c r="E15">
        <v>118.13</v>
      </c>
      <c r="F15">
        <v>353.31</v>
      </c>
      <c r="G15">
        <v>4151</v>
      </c>
    </row>
    <row r="16" spans="1:7" x14ac:dyDescent="0.35">
      <c r="A16">
        <v>191.11</v>
      </c>
      <c r="B16">
        <v>438.26</v>
      </c>
      <c r="C16">
        <v>529.16999999999996</v>
      </c>
      <c r="D16">
        <v>479.65</v>
      </c>
      <c r="E16">
        <v>299.81</v>
      </c>
      <c r="F16">
        <v>34.17</v>
      </c>
      <c r="G16">
        <v>4165</v>
      </c>
    </row>
    <row r="17" spans="1:7" x14ac:dyDescent="0.35">
      <c r="A17">
        <v>428.43</v>
      </c>
      <c r="B17">
        <v>12.55</v>
      </c>
      <c r="C17">
        <v>145.97</v>
      </c>
      <c r="D17">
        <v>512.33000000000004</v>
      </c>
      <c r="E17">
        <v>853.58</v>
      </c>
      <c r="F17">
        <v>196.52</v>
      </c>
      <c r="G17">
        <v>4212</v>
      </c>
    </row>
    <row r="18" spans="1:7" x14ac:dyDescent="0.35">
      <c r="A18">
        <v>52.01</v>
      </c>
      <c r="B18">
        <v>177.25</v>
      </c>
      <c r="C18">
        <v>174.17</v>
      </c>
      <c r="D18">
        <v>686.41</v>
      </c>
      <c r="E18">
        <v>618.69000000000005</v>
      </c>
      <c r="F18">
        <v>234.05</v>
      </c>
      <c r="G18">
        <v>4278</v>
      </c>
    </row>
    <row r="19" spans="1:7" x14ac:dyDescent="0.35">
      <c r="A19">
        <v>226.56</v>
      </c>
      <c r="B19">
        <v>802.92</v>
      </c>
      <c r="C19">
        <v>55.51</v>
      </c>
      <c r="D19">
        <v>300.17</v>
      </c>
      <c r="E19">
        <v>6.18</v>
      </c>
      <c r="F19">
        <v>141.22999999999999</v>
      </c>
      <c r="G19">
        <v>4279</v>
      </c>
    </row>
    <row r="20" spans="1:7" x14ac:dyDescent="0.35">
      <c r="A20">
        <v>152.72</v>
      </c>
      <c r="B20">
        <v>72.900000000000006</v>
      </c>
      <c r="C20">
        <v>746.8</v>
      </c>
      <c r="D20">
        <v>295.79000000000002</v>
      </c>
      <c r="E20">
        <v>708.24</v>
      </c>
      <c r="F20">
        <v>274.36</v>
      </c>
      <c r="G20">
        <v>4333</v>
      </c>
    </row>
    <row r="21" spans="1:7" x14ac:dyDescent="0.35">
      <c r="A21">
        <v>811.16</v>
      </c>
      <c r="B21">
        <v>115.99</v>
      </c>
      <c r="C21">
        <v>36.909999999999997</v>
      </c>
      <c r="D21">
        <v>48.41</v>
      </c>
      <c r="E21">
        <v>616.23</v>
      </c>
      <c r="F21">
        <v>365.65</v>
      </c>
      <c r="G21">
        <v>4344</v>
      </c>
    </row>
    <row r="22" spans="1:7" x14ac:dyDescent="0.35">
      <c r="A22">
        <v>251.03</v>
      </c>
      <c r="B22">
        <v>553.97</v>
      </c>
      <c r="C22">
        <v>571.47</v>
      </c>
      <c r="D22">
        <v>91.9</v>
      </c>
      <c r="E22">
        <v>233.84</v>
      </c>
      <c r="F22">
        <v>205.21</v>
      </c>
      <c r="G22">
        <v>4358</v>
      </c>
    </row>
    <row r="23" spans="1:7" x14ac:dyDescent="0.35">
      <c r="A23">
        <v>253.65</v>
      </c>
      <c r="B23">
        <v>51.38</v>
      </c>
      <c r="C23">
        <v>417.09</v>
      </c>
      <c r="D23">
        <v>689.61</v>
      </c>
      <c r="E23">
        <v>885.97</v>
      </c>
      <c r="F23">
        <v>74.930000000000007</v>
      </c>
      <c r="G23">
        <v>4368</v>
      </c>
    </row>
    <row r="24" spans="1:7" x14ac:dyDescent="0.35">
      <c r="A24">
        <v>297.49</v>
      </c>
      <c r="B24">
        <v>317.83999999999997</v>
      </c>
      <c r="C24">
        <v>449.9</v>
      </c>
      <c r="D24">
        <v>257.88</v>
      </c>
      <c r="E24">
        <v>200.25</v>
      </c>
      <c r="F24">
        <v>311.58999999999997</v>
      </c>
      <c r="G24">
        <v>4373</v>
      </c>
    </row>
    <row r="25" spans="1:7" x14ac:dyDescent="0.35">
      <c r="A25">
        <v>226.6</v>
      </c>
      <c r="B25">
        <v>11</v>
      </c>
      <c r="C25">
        <v>71.349999999999994</v>
      </c>
      <c r="D25">
        <v>11.69</v>
      </c>
      <c r="E25">
        <v>485.85</v>
      </c>
      <c r="F25">
        <v>791.91</v>
      </c>
      <c r="G25">
        <v>4384</v>
      </c>
    </row>
    <row r="26" spans="1:7" x14ac:dyDescent="0.35">
      <c r="A26">
        <v>100.6</v>
      </c>
      <c r="B26">
        <v>606.54999999999995</v>
      </c>
      <c r="C26">
        <v>88.07</v>
      </c>
      <c r="D26">
        <v>681.03</v>
      </c>
      <c r="E26">
        <v>251.5</v>
      </c>
      <c r="F26">
        <v>68.650000000000006</v>
      </c>
      <c r="G26">
        <v>4427</v>
      </c>
    </row>
    <row r="27" spans="1:7" x14ac:dyDescent="0.35">
      <c r="A27">
        <v>288.31</v>
      </c>
      <c r="B27">
        <v>233.38</v>
      </c>
      <c r="C27">
        <v>936.94</v>
      </c>
      <c r="D27">
        <v>349.42</v>
      </c>
      <c r="E27">
        <v>598.62</v>
      </c>
      <c r="F27">
        <v>54.17</v>
      </c>
      <c r="G27">
        <v>4481</v>
      </c>
    </row>
    <row r="28" spans="1:7" x14ac:dyDescent="0.35">
      <c r="A28">
        <v>236.29</v>
      </c>
      <c r="B28">
        <v>335.11</v>
      </c>
      <c r="C28">
        <v>480.23</v>
      </c>
      <c r="D28">
        <v>555.73</v>
      </c>
      <c r="E28">
        <v>527.03</v>
      </c>
      <c r="F28">
        <v>71.12</v>
      </c>
      <c r="G28">
        <v>4499</v>
      </c>
    </row>
    <row r="29" spans="1:7" x14ac:dyDescent="0.35">
      <c r="A29">
        <v>670.31</v>
      </c>
      <c r="B29">
        <v>26.73</v>
      </c>
      <c r="C29">
        <v>522.02</v>
      </c>
      <c r="D29">
        <v>440.71</v>
      </c>
      <c r="E29">
        <v>105.33</v>
      </c>
      <c r="F29">
        <v>275.16000000000003</v>
      </c>
      <c r="G29">
        <v>4519</v>
      </c>
    </row>
    <row r="30" spans="1:7" x14ac:dyDescent="0.35">
      <c r="A30">
        <v>107.84</v>
      </c>
      <c r="B30">
        <v>373.19</v>
      </c>
      <c r="C30">
        <v>502.84</v>
      </c>
      <c r="D30">
        <v>407.08</v>
      </c>
      <c r="E30">
        <v>628.77</v>
      </c>
      <c r="F30">
        <v>185.25</v>
      </c>
      <c r="G30">
        <v>4593</v>
      </c>
    </row>
    <row r="31" spans="1:7" x14ac:dyDescent="0.35">
      <c r="A31">
        <v>552.49</v>
      </c>
      <c r="B31">
        <v>6.01</v>
      </c>
      <c r="C31">
        <v>69.069999999999993</v>
      </c>
      <c r="D31">
        <v>304.14999999999998</v>
      </c>
      <c r="E31">
        <v>52.77</v>
      </c>
      <c r="F31">
        <v>667.78</v>
      </c>
      <c r="G31">
        <v>4720</v>
      </c>
    </row>
    <row r="32" spans="1:7" x14ac:dyDescent="0.35">
      <c r="A32">
        <v>46.41</v>
      </c>
      <c r="B32">
        <v>760.8</v>
      </c>
      <c r="C32">
        <v>137.61000000000001</v>
      </c>
      <c r="D32">
        <v>493.29</v>
      </c>
      <c r="E32">
        <v>727.95</v>
      </c>
      <c r="F32">
        <v>34.15</v>
      </c>
      <c r="G32">
        <v>4824</v>
      </c>
    </row>
    <row r="33" spans="1:7" x14ac:dyDescent="0.35">
      <c r="A33">
        <v>596.79999999999995</v>
      </c>
      <c r="B33">
        <v>121.5</v>
      </c>
      <c r="C33">
        <v>364.02</v>
      </c>
      <c r="D33">
        <v>145.03</v>
      </c>
      <c r="E33">
        <v>106.09</v>
      </c>
      <c r="F33">
        <v>559.04999999999995</v>
      </c>
      <c r="G33">
        <v>4830</v>
      </c>
    </row>
    <row r="34" spans="1:7" x14ac:dyDescent="0.35">
      <c r="A34">
        <v>48.31</v>
      </c>
      <c r="B34">
        <v>555.19000000000005</v>
      </c>
      <c r="C34">
        <v>305.47000000000003</v>
      </c>
      <c r="D34">
        <v>753.44</v>
      </c>
      <c r="E34">
        <v>174.5</v>
      </c>
      <c r="F34">
        <v>139.46</v>
      </c>
      <c r="G34">
        <v>4878</v>
      </c>
    </row>
    <row r="35" spans="1:7" x14ac:dyDescent="0.35">
      <c r="A35">
        <v>791.08</v>
      </c>
      <c r="B35">
        <v>238.26</v>
      </c>
      <c r="C35">
        <v>369.8</v>
      </c>
      <c r="D35">
        <v>199.95</v>
      </c>
      <c r="E35">
        <v>378.52</v>
      </c>
      <c r="F35">
        <v>285.02</v>
      </c>
      <c r="G35">
        <v>4941</v>
      </c>
    </row>
    <row r="36" spans="1:7" x14ac:dyDescent="0.35">
      <c r="A36">
        <v>5.77</v>
      </c>
      <c r="B36">
        <v>169.34</v>
      </c>
      <c r="C36">
        <v>725.49</v>
      </c>
      <c r="D36">
        <v>477.59</v>
      </c>
      <c r="E36">
        <v>363.65</v>
      </c>
      <c r="F36">
        <v>429.3</v>
      </c>
      <c r="G36">
        <v>4945</v>
      </c>
    </row>
    <row r="37" spans="1:7" x14ac:dyDescent="0.35">
      <c r="A37">
        <v>214.34</v>
      </c>
      <c r="B37">
        <v>283.19</v>
      </c>
      <c r="C37">
        <v>654.88</v>
      </c>
      <c r="D37">
        <v>855.9</v>
      </c>
      <c r="E37">
        <v>0.77</v>
      </c>
      <c r="F37">
        <v>145.27000000000001</v>
      </c>
      <c r="G37">
        <v>5008</v>
      </c>
    </row>
    <row r="38" spans="1:7" x14ac:dyDescent="0.35">
      <c r="A38">
        <v>331.82</v>
      </c>
      <c r="B38">
        <v>175.46</v>
      </c>
      <c r="C38">
        <v>763.6</v>
      </c>
      <c r="D38">
        <v>352.17</v>
      </c>
      <c r="E38">
        <v>256.97000000000003</v>
      </c>
      <c r="F38">
        <v>372.7</v>
      </c>
      <c r="G38">
        <v>5019</v>
      </c>
    </row>
    <row r="39" spans="1:7" x14ac:dyDescent="0.35">
      <c r="A39">
        <v>138.83000000000001</v>
      </c>
      <c r="B39">
        <v>389.62</v>
      </c>
      <c r="C39">
        <v>804.53</v>
      </c>
      <c r="D39">
        <v>587.20000000000005</v>
      </c>
      <c r="E39">
        <v>436.57</v>
      </c>
      <c r="F39">
        <v>95.75</v>
      </c>
      <c r="G39">
        <v>5029</v>
      </c>
    </row>
    <row r="40" spans="1:7" x14ac:dyDescent="0.35">
      <c r="A40">
        <v>702.97</v>
      </c>
      <c r="B40">
        <v>296.52999999999997</v>
      </c>
      <c r="C40">
        <v>558.13</v>
      </c>
      <c r="D40">
        <v>180.55</v>
      </c>
      <c r="E40">
        <v>781.06</v>
      </c>
      <c r="F40">
        <v>132.43</v>
      </c>
      <c r="G40">
        <v>5055</v>
      </c>
    </row>
    <row r="41" spans="1:7" x14ac:dyDescent="0.35">
      <c r="A41">
        <v>380.57</v>
      </c>
      <c r="B41">
        <v>108.41</v>
      </c>
      <c r="C41">
        <v>592.38</v>
      </c>
      <c r="D41">
        <v>723.51</v>
      </c>
      <c r="E41">
        <v>524.08000000000004</v>
      </c>
      <c r="F41">
        <v>177.85</v>
      </c>
      <c r="G41">
        <v>5132</v>
      </c>
    </row>
    <row r="42" spans="1:7" x14ac:dyDescent="0.35">
      <c r="A42">
        <v>486.64</v>
      </c>
      <c r="B42">
        <v>555.02</v>
      </c>
      <c r="C42">
        <v>203.26</v>
      </c>
      <c r="D42">
        <v>271.62</v>
      </c>
      <c r="E42">
        <v>70.040000000000006</v>
      </c>
      <c r="F42">
        <v>366.25</v>
      </c>
      <c r="G42">
        <v>5177</v>
      </c>
    </row>
    <row r="43" spans="1:7" x14ac:dyDescent="0.35">
      <c r="A43">
        <v>800.5</v>
      </c>
      <c r="B43">
        <v>358.92</v>
      </c>
      <c r="C43">
        <v>982.04</v>
      </c>
      <c r="D43">
        <v>192.2</v>
      </c>
      <c r="E43">
        <v>246.33</v>
      </c>
      <c r="F43">
        <v>64.39</v>
      </c>
      <c r="G43">
        <v>5182</v>
      </c>
    </row>
    <row r="44" spans="1:7" x14ac:dyDescent="0.35">
      <c r="A44">
        <v>387.72</v>
      </c>
      <c r="B44">
        <v>256.08</v>
      </c>
      <c r="C44">
        <v>791.75</v>
      </c>
      <c r="D44">
        <v>40.6</v>
      </c>
      <c r="E44">
        <v>822.03</v>
      </c>
      <c r="F44">
        <v>342</v>
      </c>
      <c r="G44">
        <v>5185</v>
      </c>
    </row>
    <row r="45" spans="1:7" x14ac:dyDescent="0.35">
      <c r="A45">
        <v>236.32</v>
      </c>
      <c r="B45">
        <v>172.26</v>
      </c>
      <c r="C45">
        <v>936.65</v>
      </c>
      <c r="D45">
        <v>48.26</v>
      </c>
      <c r="E45">
        <v>293.02999999999997</v>
      </c>
      <c r="F45">
        <v>582.58000000000004</v>
      </c>
      <c r="G45">
        <v>5191</v>
      </c>
    </row>
    <row r="46" spans="1:7" x14ac:dyDescent="0.35">
      <c r="A46">
        <v>314.41000000000003</v>
      </c>
      <c r="B46">
        <v>67.430000000000007</v>
      </c>
      <c r="C46">
        <v>296.51</v>
      </c>
      <c r="D46">
        <v>728.87</v>
      </c>
      <c r="E46">
        <v>494.04</v>
      </c>
      <c r="F46">
        <v>374.83</v>
      </c>
      <c r="G46">
        <v>5199</v>
      </c>
    </row>
    <row r="47" spans="1:7" x14ac:dyDescent="0.35">
      <c r="A47">
        <v>255.61</v>
      </c>
      <c r="B47">
        <v>637.59</v>
      </c>
      <c r="C47">
        <v>496.61</v>
      </c>
      <c r="D47">
        <v>203.09</v>
      </c>
      <c r="E47">
        <v>614.44000000000005</v>
      </c>
      <c r="F47">
        <v>206.61</v>
      </c>
      <c r="G47">
        <v>5235</v>
      </c>
    </row>
    <row r="48" spans="1:7" x14ac:dyDescent="0.35">
      <c r="A48">
        <v>130.31</v>
      </c>
      <c r="B48">
        <v>663.36</v>
      </c>
      <c r="C48">
        <v>865.77</v>
      </c>
      <c r="D48">
        <v>477.86</v>
      </c>
      <c r="E48">
        <v>7.27</v>
      </c>
      <c r="F48">
        <v>122.8</v>
      </c>
      <c r="G48">
        <v>5235</v>
      </c>
    </row>
    <row r="49" spans="1:7" x14ac:dyDescent="0.35">
      <c r="A49">
        <v>632.14</v>
      </c>
      <c r="B49">
        <v>332.75</v>
      </c>
      <c r="C49">
        <v>875.67</v>
      </c>
      <c r="D49">
        <v>63.47</v>
      </c>
      <c r="E49">
        <v>979.73</v>
      </c>
      <c r="F49">
        <v>85.44</v>
      </c>
      <c r="G49">
        <v>5255</v>
      </c>
    </row>
    <row r="50" spans="1:7" x14ac:dyDescent="0.35">
      <c r="A50">
        <v>711.36</v>
      </c>
      <c r="B50">
        <v>84.09</v>
      </c>
      <c r="C50">
        <v>52.43</v>
      </c>
      <c r="D50">
        <v>907.89</v>
      </c>
      <c r="E50">
        <v>744.53</v>
      </c>
      <c r="F50">
        <v>85.62</v>
      </c>
      <c r="G50">
        <v>5279</v>
      </c>
    </row>
    <row r="51" spans="1:7" x14ac:dyDescent="0.35">
      <c r="A51">
        <v>769.35</v>
      </c>
      <c r="B51">
        <v>155.06</v>
      </c>
      <c r="C51">
        <v>481.46</v>
      </c>
      <c r="D51">
        <v>769.67</v>
      </c>
      <c r="E51">
        <v>87.96</v>
      </c>
      <c r="F51">
        <v>132.66999999999999</v>
      </c>
      <c r="G51">
        <v>5280</v>
      </c>
    </row>
    <row r="52" spans="1:7" x14ac:dyDescent="0.35">
      <c r="A52">
        <v>269.45999999999998</v>
      </c>
      <c r="B52">
        <v>304.74</v>
      </c>
      <c r="C52">
        <v>221.85</v>
      </c>
      <c r="D52">
        <v>57.73</v>
      </c>
      <c r="E52">
        <v>669.73</v>
      </c>
      <c r="F52">
        <v>641.67999999999995</v>
      </c>
      <c r="G52">
        <v>5292</v>
      </c>
    </row>
    <row r="53" spans="1:7" x14ac:dyDescent="0.35">
      <c r="A53">
        <v>334.12</v>
      </c>
      <c r="B53">
        <v>515.21</v>
      </c>
      <c r="C53">
        <v>565.22</v>
      </c>
      <c r="D53">
        <v>153.75</v>
      </c>
      <c r="E53">
        <v>685.88</v>
      </c>
      <c r="F53">
        <v>271.07</v>
      </c>
      <c r="G53">
        <v>5337</v>
      </c>
    </row>
    <row r="54" spans="1:7" x14ac:dyDescent="0.35">
      <c r="A54">
        <v>637.84</v>
      </c>
      <c r="B54">
        <v>191.38</v>
      </c>
      <c r="C54">
        <v>629.57000000000005</v>
      </c>
      <c r="D54">
        <v>470.89</v>
      </c>
      <c r="E54">
        <v>241.79</v>
      </c>
      <c r="F54">
        <v>270.87</v>
      </c>
      <c r="G54">
        <v>5356</v>
      </c>
    </row>
    <row r="55" spans="1:7" x14ac:dyDescent="0.35">
      <c r="A55">
        <v>4.33</v>
      </c>
      <c r="B55">
        <v>593.79</v>
      </c>
      <c r="C55">
        <v>71.45</v>
      </c>
      <c r="D55">
        <v>454.6</v>
      </c>
      <c r="E55">
        <v>980.12</v>
      </c>
      <c r="F55">
        <v>295.33</v>
      </c>
      <c r="G55">
        <v>5386</v>
      </c>
    </row>
    <row r="56" spans="1:7" x14ac:dyDescent="0.35">
      <c r="A56">
        <v>439.57</v>
      </c>
      <c r="B56">
        <v>566.54</v>
      </c>
      <c r="C56">
        <v>184.38</v>
      </c>
      <c r="D56">
        <v>526.25</v>
      </c>
      <c r="E56">
        <v>120.21</v>
      </c>
      <c r="F56">
        <v>269.41000000000003</v>
      </c>
      <c r="G56">
        <v>5399</v>
      </c>
    </row>
    <row r="57" spans="1:7" x14ac:dyDescent="0.35">
      <c r="A57">
        <v>438.1</v>
      </c>
      <c r="B57">
        <v>556.71</v>
      </c>
      <c r="C57">
        <v>823.93</v>
      </c>
      <c r="D57">
        <v>362.43</v>
      </c>
      <c r="E57">
        <v>576.67999999999995</v>
      </c>
      <c r="F57">
        <v>19.489999999999998</v>
      </c>
      <c r="G57">
        <v>5453</v>
      </c>
    </row>
    <row r="58" spans="1:7" x14ac:dyDescent="0.35">
      <c r="A58">
        <v>194.33</v>
      </c>
      <c r="B58">
        <v>558.80999999999995</v>
      </c>
      <c r="C58">
        <v>571.82000000000005</v>
      </c>
      <c r="D58">
        <v>531.53</v>
      </c>
      <c r="E58">
        <v>485.4</v>
      </c>
      <c r="F58">
        <v>155.53</v>
      </c>
      <c r="G58">
        <v>5468</v>
      </c>
    </row>
    <row r="59" spans="1:7" x14ac:dyDescent="0.35">
      <c r="A59">
        <v>945.81</v>
      </c>
      <c r="B59">
        <v>130.71</v>
      </c>
      <c r="C59">
        <v>138.81</v>
      </c>
      <c r="D59">
        <v>289.98</v>
      </c>
      <c r="E59">
        <v>113.67</v>
      </c>
      <c r="F59">
        <v>528.82000000000005</v>
      </c>
      <c r="G59">
        <v>5476</v>
      </c>
    </row>
    <row r="60" spans="1:7" x14ac:dyDescent="0.35">
      <c r="A60">
        <v>898.52</v>
      </c>
      <c r="B60">
        <v>61.27</v>
      </c>
      <c r="C60">
        <v>548.73</v>
      </c>
      <c r="D60">
        <v>240.93</v>
      </c>
      <c r="E60">
        <v>278.95999999999998</v>
      </c>
      <c r="F60">
        <v>432.27</v>
      </c>
      <c r="G60">
        <v>5480</v>
      </c>
    </row>
    <row r="61" spans="1:7" x14ac:dyDescent="0.35">
      <c r="A61">
        <v>126.3</v>
      </c>
      <c r="B61">
        <v>89.18</v>
      </c>
      <c r="C61">
        <v>351.92</v>
      </c>
      <c r="D61">
        <v>35.43</v>
      </c>
      <c r="E61">
        <v>547.99</v>
      </c>
      <c r="F61">
        <v>923.44</v>
      </c>
      <c r="G61">
        <v>5487</v>
      </c>
    </row>
    <row r="62" spans="1:7" x14ac:dyDescent="0.35">
      <c r="A62">
        <v>620.28</v>
      </c>
      <c r="B62">
        <v>290.29000000000002</v>
      </c>
      <c r="C62">
        <v>118.69</v>
      </c>
      <c r="D62">
        <v>436.82</v>
      </c>
      <c r="E62">
        <v>803.95</v>
      </c>
      <c r="F62">
        <v>294.95999999999998</v>
      </c>
      <c r="G62">
        <v>5507</v>
      </c>
    </row>
    <row r="63" spans="1:7" x14ac:dyDescent="0.35">
      <c r="A63">
        <v>154.83000000000001</v>
      </c>
      <c r="B63">
        <v>302.06</v>
      </c>
      <c r="C63">
        <v>911.95</v>
      </c>
      <c r="D63">
        <v>100.35</v>
      </c>
      <c r="E63">
        <v>143.65</v>
      </c>
      <c r="F63">
        <v>623.62</v>
      </c>
      <c r="G63">
        <v>5519</v>
      </c>
    </row>
    <row r="64" spans="1:7" x14ac:dyDescent="0.35">
      <c r="A64">
        <v>811.14</v>
      </c>
      <c r="B64">
        <v>506.9</v>
      </c>
      <c r="C64">
        <v>860.52</v>
      </c>
      <c r="D64">
        <v>123.44</v>
      </c>
      <c r="E64">
        <v>96.87</v>
      </c>
      <c r="F64">
        <v>189.13</v>
      </c>
      <c r="G64">
        <v>5606</v>
      </c>
    </row>
    <row r="65" spans="1:7" x14ac:dyDescent="0.35">
      <c r="A65">
        <v>472.43</v>
      </c>
      <c r="B65">
        <v>114.31</v>
      </c>
      <c r="C65">
        <v>565.1</v>
      </c>
      <c r="D65">
        <v>905.36</v>
      </c>
      <c r="E65">
        <v>405.67</v>
      </c>
      <c r="F65">
        <v>185.11</v>
      </c>
      <c r="G65">
        <v>5620</v>
      </c>
    </row>
    <row r="66" spans="1:7" x14ac:dyDescent="0.35">
      <c r="A66">
        <v>911.58</v>
      </c>
      <c r="B66">
        <v>319</v>
      </c>
      <c r="C66">
        <v>290.08</v>
      </c>
      <c r="D66">
        <v>316.48</v>
      </c>
      <c r="E66">
        <v>452.77</v>
      </c>
      <c r="F66">
        <v>274.45</v>
      </c>
      <c r="G66">
        <v>5654</v>
      </c>
    </row>
    <row r="67" spans="1:7" x14ac:dyDescent="0.35">
      <c r="A67">
        <v>890.01</v>
      </c>
      <c r="B67">
        <v>373.28</v>
      </c>
      <c r="C67">
        <v>623.96</v>
      </c>
      <c r="D67">
        <v>228.75</v>
      </c>
      <c r="E67">
        <v>314.52</v>
      </c>
      <c r="F67">
        <v>224.78</v>
      </c>
      <c r="G67">
        <v>5681</v>
      </c>
    </row>
    <row r="68" spans="1:7" x14ac:dyDescent="0.35">
      <c r="A68">
        <v>579.98</v>
      </c>
      <c r="B68">
        <v>330.09</v>
      </c>
      <c r="C68">
        <v>787.75</v>
      </c>
      <c r="D68">
        <v>438.44</v>
      </c>
      <c r="E68">
        <v>193.77</v>
      </c>
      <c r="F68">
        <v>257</v>
      </c>
      <c r="G68">
        <v>5688</v>
      </c>
    </row>
    <row r="69" spans="1:7" x14ac:dyDescent="0.35">
      <c r="A69">
        <v>679.14</v>
      </c>
      <c r="B69">
        <v>447.24</v>
      </c>
      <c r="C69">
        <v>395.3</v>
      </c>
      <c r="D69">
        <v>421.19</v>
      </c>
      <c r="E69">
        <v>565.17999999999995</v>
      </c>
      <c r="F69">
        <v>169.63</v>
      </c>
      <c r="G69">
        <v>5692</v>
      </c>
    </row>
    <row r="70" spans="1:7" x14ac:dyDescent="0.35">
      <c r="A70">
        <v>188.82</v>
      </c>
      <c r="B70">
        <v>129.27000000000001</v>
      </c>
      <c r="C70">
        <v>230.43</v>
      </c>
      <c r="D70">
        <v>464.89</v>
      </c>
      <c r="E70">
        <v>389.11</v>
      </c>
      <c r="F70">
        <v>748.99</v>
      </c>
      <c r="G70">
        <v>5728</v>
      </c>
    </row>
    <row r="71" spans="1:7" x14ac:dyDescent="0.35">
      <c r="A71">
        <v>642.89</v>
      </c>
      <c r="B71">
        <v>203.27</v>
      </c>
      <c r="C71">
        <v>769.51</v>
      </c>
      <c r="D71">
        <v>475.05</v>
      </c>
      <c r="E71">
        <v>732.54</v>
      </c>
      <c r="F71">
        <v>150.62</v>
      </c>
      <c r="G71">
        <v>5729</v>
      </c>
    </row>
    <row r="72" spans="1:7" x14ac:dyDescent="0.35">
      <c r="A72">
        <v>978.38</v>
      </c>
      <c r="B72">
        <v>847.76</v>
      </c>
      <c r="C72">
        <v>438.63</v>
      </c>
      <c r="D72">
        <v>151.49</v>
      </c>
      <c r="E72">
        <v>155.02000000000001</v>
      </c>
      <c r="F72">
        <v>6.74</v>
      </c>
      <c r="G72">
        <v>5735</v>
      </c>
    </row>
    <row r="73" spans="1:7" x14ac:dyDescent="0.35">
      <c r="A73">
        <v>284</v>
      </c>
      <c r="B73">
        <v>556.77</v>
      </c>
      <c r="C73">
        <v>96.05</v>
      </c>
      <c r="D73">
        <v>116.79</v>
      </c>
      <c r="E73">
        <v>694.57</v>
      </c>
      <c r="F73">
        <v>559.16</v>
      </c>
      <c r="G73">
        <v>5744</v>
      </c>
    </row>
    <row r="74" spans="1:7" x14ac:dyDescent="0.35">
      <c r="A74">
        <v>117.94</v>
      </c>
      <c r="B74">
        <v>635.13</v>
      </c>
      <c r="C74">
        <v>238.6</v>
      </c>
      <c r="D74">
        <v>364.03</v>
      </c>
      <c r="E74">
        <v>324.37</v>
      </c>
      <c r="F74">
        <v>497.95</v>
      </c>
      <c r="G74">
        <v>5787</v>
      </c>
    </row>
    <row r="75" spans="1:7" x14ac:dyDescent="0.35">
      <c r="A75">
        <v>297.55</v>
      </c>
      <c r="B75">
        <v>132.32</v>
      </c>
      <c r="C75">
        <v>771.99</v>
      </c>
      <c r="D75">
        <v>810.67</v>
      </c>
      <c r="E75">
        <v>480.55</v>
      </c>
      <c r="F75">
        <v>280.3</v>
      </c>
      <c r="G75">
        <v>5881</v>
      </c>
    </row>
    <row r="76" spans="1:7" x14ac:dyDescent="0.35">
      <c r="A76">
        <v>482.12</v>
      </c>
      <c r="B76">
        <v>964.76</v>
      </c>
      <c r="C76">
        <v>408.23</v>
      </c>
      <c r="D76">
        <v>284.39</v>
      </c>
      <c r="E76">
        <v>497.79</v>
      </c>
      <c r="F76">
        <v>30.48</v>
      </c>
      <c r="G76">
        <v>5897</v>
      </c>
    </row>
    <row r="77" spans="1:7" x14ac:dyDescent="0.35">
      <c r="A77">
        <v>250.42</v>
      </c>
      <c r="B77">
        <v>727.86</v>
      </c>
      <c r="C77">
        <v>310.57</v>
      </c>
      <c r="D77">
        <v>360.1</v>
      </c>
      <c r="E77">
        <v>267.08999999999997</v>
      </c>
      <c r="F77">
        <v>389.7</v>
      </c>
      <c r="G77">
        <v>5931</v>
      </c>
    </row>
    <row r="78" spans="1:7" x14ac:dyDescent="0.35">
      <c r="A78">
        <v>106.55</v>
      </c>
      <c r="B78">
        <v>181.42</v>
      </c>
      <c r="C78">
        <v>343.32</v>
      </c>
      <c r="D78">
        <v>581.92999999999995</v>
      </c>
      <c r="E78">
        <v>664.95</v>
      </c>
      <c r="F78">
        <v>600.27</v>
      </c>
      <c r="G78">
        <v>5934</v>
      </c>
    </row>
    <row r="79" spans="1:7" x14ac:dyDescent="0.35">
      <c r="A79">
        <v>54.08</v>
      </c>
      <c r="B79">
        <v>736.44</v>
      </c>
      <c r="C79">
        <v>997.23</v>
      </c>
      <c r="D79">
        <v>735.75</v>
      </c>
      <c r="E79">
        <v>9.5299999999999994</v>
      </c>
      <c r="F79">
        <v>71.72</v>
      </c>
      <c r="G79">
        <v>5940</v>
      </c>
    </row>
    <row r="80" spans="1:7" x14ac:dyDescent="0.35">
      <c r="A80">
        <v>217.39</v>
      </c>
      <c r="B80">
        <v>533.83000000000004</v>
      </c>
      <c r="C80">
        <v>526.94000000000005</v>
      </c>
      <c r="D80">
        <v>393.81</v>
      </c>
      <c r="E80">
        <v>486.13</v>
      </c>
      <c r="F80">
        <v>390.64</v>
      </c>
      <c r="G80">
        <v>5957</v>
      </c>
    </row>
    <row r="81" spans="1:7" x14ac:dyDescent="0.35">
      <c r="A81">
        <v>807.13</v>
      </c>
      <c r="B81">
        <v>127.07</v>
      </c>
      <c r="C81">
        <v>596.9</v>
      </c>
      <c r="D81">
        <v>886.41</v>
      </c>
      <c r="E81">
        <v>618.66</v>
      </c>
      <c r="F81">
        <v>26.23</v>
      </c>
      <c r="G81">
        <v>5957</v>
      </c>
    </row>
    <row r="82" spans="1:7" x14ac:dyDescent="0.35">
      <c r="A82">
        <v>993.84</v>
      </c>
      <c r="B82">
        <v>276.72000000000003</v>
      </c>
      <c r="C82">
        <v>405.45</v>
      </c>
      <c r="D82">
        <v>334.76</v>
      </c>
      <c r="E82">
        <v>95.3</v>
      </c>
      <c r="F82">
        <v>398.06</v>
      </c>
      <c r="G82">
        <v>5970</v>
      </c>
    </row>
    <row r="83" spans="1:7" x14ac:dyDescent="0.35">
      <c r="A83">
        <v>328.11</v>
      </c>
      <c r="B83">
        <v>183.13</v>
      </c>
      <c r="C83">
        <v>850.23</v>
      </c>
      <c r="D83">
        <v>461.4</v>
      </c>
      <c r="E83">
        <v>345.2</v>
      </c>
      <c r="F83">
        <v>489.56</v>
      </c>
      <c r="G83">
        <v>6005</v>
      </c>
    </row>
    <row r="84" spans="1:7" x14ac:dyDescent="0.35">
      <c r="A84">
        <v>328.07</v>
      </c>
      <c r="B84">
        <v>782.75</v>
      </c>
      <c r="C84">
        <v>172.69</v>
      </c>
      <c r="D84">
        <v>313.47000000000003</v>
      </c>
      <c r="E84">
        <v>124.85</v>
      </c>
      <c r="F84">
        <v>453.17</v>
      </c>
      <c r="G84">
        <v>6026</v>
      </c>
    </row>
    <row r="85" spans="1:7" x14ac:dyDescent="0.35">
      <c r="A85">
        <v>993.92</v>
      </c>
      <c r="B85">
        <v>283.52</v>
      </c>
      <c r="C85">
        <v>528.13</v>
      </c>
      <c r="D85">
        <v>578.70000000000005</v>
      </c>
      <c r="E85">
        <v>529.23</v>
      </c>
      <c r="F85">
        <v>80.86</v>
      </c>
      <c r="G85">
        <v>6026</v>
      </c>
    </row>
    <row r="86" spans="1:7" x14ac:dyDescent="0.35">
      <c r="A86">
        <v>141.9</v>
      </c>
      <c r="B86">
        <v>152.56</v>
      </c>
      <c r="C86">
        <v>943.03</v>
      </c>
      <c r="D86">
        <v>410.78</v>
      </c>
      <c r="E86">
        <v>185.91</v>
      </c>
      <c r="F86">
        <v>661.03</v>
      </c>
      <c r="G86">
        <v>6045</v>
      </c>
    </row>
    <row r="87" spans="1:7" x14ac:dyDescent="0.35">
      <c r="A87">
        <v>594.03</v>
      </c>
      <c r="B87">
        <v>255.6</v>
      </c>
      <c r="C87">
        <v>411.98</v>
      </c>
      <c r="D87">
        <v>208.8</v>
      </c>
      <c r="E87">
        <v>101.1</v>
      </c>
      <c r="F87">
        <v>723.18</v>
      </c>
      <c r="G87">
        <v>6104</v>
      </c>
    </row>
    <row r="88" spans="1:7" x14ac:dyDescent="0.35">
      <c r="A88">
        <v>44.77</v>
      </c>
      <c r="B88">
        <v>462.32</v>
      </c>
      <c r="C88">
        <v>137.03</v>
      </c>
      <c r="D88">
        <v>466.47</v>
      </c>
      <c r="E88">
        <v>897.51</v>
      </c>
      <c r="F88">
        <v>546.67999999999995</v>
      </c>
      <c r="G88">
        <v>6110</v>
      </c>
    </row>
    <row r="89" spans="1:7" x14ac:dyDescent="0.35">
      <c r="A89">
        <v>327.24</v>
      </c>
      <c r="B89">
        <v>910.57</v>
      </c>
      <c r="C89">
        <v>942.83</v>
      </c>
      <c r="D89">
        <v>32.520000000000003</v>
      </c>
      <c r="E89">
        <v>846.53</v>
      </c>
      <c r="F89">
        <v>57.44</v>
      </c>
      <c r="G89">
        <v>6136</v>
      </c>
    </row>
    <row r="90" spans="1:7" x14ac:dyDescent="0.35">
      <c r="A90">
        <v>475.17</v>
      </c>
      <c r="B90">
        <v>380.97</v>
      </c>
      <c r="C90">
        <v>460.06</v>
      </c>
      <c r="D90">
        <v>642.39</v>
      </c>
      <c r="E90">
        <v>220</v>
      </c>
      <c r="F90">
        <v>376.2</v>
      </c>
      <c r="G90">
        <v>6144</v>
      </c>
    </row>
    <row r="91" spans="1:7" x14ac:dyDescent="0.35">
      <c r="A91">
        <v>962.92</v>
      </c>
      <c r="B91">
        <v>86.72</v>
      </c>
      <c r="C91">
        <v>576.72</v>
      </c>
      <c r="D91">
        <v>276.39</v>
      </c>
      <c r="E91">
        <v>916.96</v>
      </c>
      <c r="F91">
        <v>328.88</v>
      </c>
      <c r="G91">
        <v>6153</v>
      </c>
    </row>
    <row r="92" spans="1:7" x14ac:dyDescent="0.35">
      <c r="A92">
        <v>313.14</v>
      </c>
      <c r="B92">
        <v>295.94</v>
      </c>
      <c r="C92">
        <v>642.96</v>
      </c>
      <c r="D92">
        <v>505.71</v>
      </c>
      <c r="E92">
        <v>438.91</v>
      </c>
      <c r="F92">
        <v>464.23</v>
      </c>
      <c r="G92">
        <v>6154</v>
      </c>
    </row>
    <row r="93" spans="1:7" x14ac:dyDescent="0.35">
      <c r="A93">
        <v>519.08000000000004</v>
      </c>
      <c r="B93">
        <v>493.1</v>
      </c>
      <c r="C93">
        <v>375.53</v>
      </c>
      <c r="D93">
        <v>579.99</v>
      </c>
      <c r="E93">
        <v>491.61</v>
      </c>
      <c r="F93">
        <v>255.77</v>
      </c>
      <c r="G93">
        <v>6163</v>
      </c>
    </row>
    <row r="94" spans="1:7" x14ac:dyDescent="0.35">
      <c r="A94">
        <v>139.72</v>
      </c>
      <c r="B94">
        <v>831.04</v>
      </c>
      <c r="C94">
        <v>843.23</v>
      </c>
      <c r="D94">
        <v>654.59</v>
      </c>
      <c r="E94">
        <v>325.38</v>
      </c>
      <c r="F94">
        <v>30.01</v>
      </c>
      <c r="G94">
        <v>6176</v>
      </c>
    </row>
    <row r="95" spans="1:7" x14ac:dyDescent="0.35">
      <c r="A95">
        <v>484.3</v>
      </c>
      <c r="B95">
        <v>857.63</v>
      </c>
      <c r="C95">
        <v>969.6</v>
      </c>
      <c r="D95">
        <v>50.03</v>
      </c>
      <c r="E95">
        <v>807.26</v>
      </c>
      <c r="F95">
        <v>22.11</v>
      </c>
      <c r="G95">
        <v>6184</v>
      </c>
    </row>
    <row r="96" spans="1:7" x14ac:dyDescent="0.35">
      <c r="A96">
        <v>179.73</v>
      </c>
      <c r="B96">
        <v>692.17</v>
      </c>
      <c r="C96">
        <v>973.09</v>
      </c>
      <c r="D96">
        <v>580.05999999999995</v>
      </c>
      <c r="E96">
        <v>271.49</v>
      </c>
      <c r="F96">
        <v>129.04</v>
      </c>
      <c r="G96">
        <v>6198</v>
      </c>
    </row>
    <row r="97" spans="1:7" x14ac:dyDescent="0.35">
      <c r="A97">
        <v>974.14</v>
      </c>
      <c r="B97">
        <v>188.8</v>
      </c>
      <c r="C97">
        <v>606.22</v>
      </c>
      <c r="D97">
        <v>74.83</v>
      </c>
      <c r="E97">
        <v>820.43</v>
      </c>
      <c r="F97">
        <v>408.68</v>
      </c>
      <c r="G97">
        <v>6228</v>
      </c>
    </row>
    <row r="98" spans="1:7" x14ac:dyDescent="0.35">
      <c r="A98">
        <v>362.64</v>
      </c>
      <c r="B98">
        <v>54.75</v>
      </c>
      <c r="C98">
        <v>754.27</v>
      </c>
      <c r="D98">
        <v>888.38</v>
      </c>
      <c r="E98">
        <v>574.96</v>
      </c>
      <c r="F98">
        <v>324.74</v>
      </c>
      <c r="G98">
        <v>6238</v>
      </c>
    </row>
    <row r="99" spans="1:7" x14ac:dyDescent="0.35">
      <c r="A99">
        <v>306.18</v>
      </c>
      <c r="B99">
        <v>137.08000000000001</v>
      </c>
      <c r="C99">
        <v>549.85</v>
      </c>
      <c r="D99">
        <v>725.44</v>
      </c>
      <c r="E99">
        <v>890.43</v>
      </c>
      <c r="F99">
        <v>381.03</v>
      </c>
      <c r="G99">
        <v>6245</v>
      </c>
    </row>
    <row r="100" spans="1:7" x14ac:dyDescent="0.35">
      <c r="A100">
        <v>520.95000000000005</v>
      </c>
      <c r="B100">
        <v>278.31</v>
      </c>
      <c r="C100">
        <v>634.73</v>
      </c>
      <c r="D100">
        <v>510.64</v>
      </c>
      <c r="E100">
        <v>449.85</v>
      </c>
      <c r="F100">
        <v>413.95</v>
      </c>
      <c r="G100">
        <v>6281</v>
      </c>
    </row>
    <row r="101" spans="1:7" x14ac:dyDescent="0.35">
      <c r="A101">
        <v>98.83</v>
      </c>
      <c r="B101">
        <v>575.33000000000004</v>
      </c>
      <c r="C101">
        <v>19.940000000000001</v>
      </c>
      <c r="D101">
        <v>800.94</v>
      </c>
      <c r="E101">
        <v>673.3</v>
      </c>
      <c r="F101">
        <v>385.92</v>
      </c>
      <c r="G101">
        <v>6306</v>
      </c>
    </row>
    <row r="102" spans="1:7" x14ac:dyDescent="0.35">
      <c r="A102">
        <v>587.02</v>
      </c>
      <c r="B102">
        <v>361.02</v>
      </c>
      <c r="C102">
        <v>694.24</v>
      </c>
      <c r="D102">
        <v>329.66</v>
      </c>
      <c r="E102">
        <v>797.7</v>
      </c>
      <c r="F102">
        <v>313.52999999999997</v>
      </c>
      <c r="G102">
        <v>6324</v>
      </c>
    </row>
    <row r="103" spans="1:7" x14ac:dyDescent="0.35">
      <c r="A103">
        <v>36.04</v>
      </c>
      <c r="B103">
        <v>925.81</v>
      </c>
      <c r="C103">
        <v>822.63</v>
      </c>
      <c r="D103">
        <v>531.66999999999996</v>
      </c>
      <c r="E103">
        <v>57.51</v>
      </c>
      <c r="F103">
        <v>218.46</v>
      </c>
      <c r="G103">
        <v>6348</v>
      </c>
    </row>
    <row r="104" spans="1:7" x14ac:dyDescent="0.35">
      <c r="A104">
        <v>847.61</v>
      </c>
      <c r="B104">
        <v>700.94</v>
      </c>
      <c r="C104">
        <v>349.72</v>
      </c>
      <c r="D104">
        <v>155.25</v>
      </c>
      <c r="E104">
        <v>811.17</v>
      </c>
      <c r="F104">
        <v>170.85</v>
      </c>
      <c r="G104">
        <v>6356</v>
      </c>
    </row>
    <row r="105" spans="1:7" x14ac:dyDescent="0.35">
      <c r="A105">
        <v>251.5</v>
      </c>
      <c r="B105">
        <v>937.55</v>
      </c>
      <c r="C105">
        <v>330.19</v>
      </c>
      <c r="D105">
        <v>277.27999999999997</v>
      </c>
      <c r="E105">
        <v>411.96</v>
      </c>
      <c r="F105">
        <v>336.4</v>
      </c>
      <c r="G105">
        <v>6356</v>
      </c>
    </row>
    <row r="106" spans="1:7" x14ac:dyDescent="0.35">
      <c r="A106">
        <v>297.32</v>
      </c>
      <c r="B106">
        <v>168.27</v>
      </c>
      <c r="C106">
        <v>38.43</v>
      </c>
      <c r="D106">
        <v>968.13</v>
      </c>
      <c r="E106">
        <v>238.44</v>
      </c>
      <c r="F106">
        <v>636.41999999999996</v>
      </c>
      <c r="G106">
        <v>6425</v>
      </c>
    </row>
    <row r="107" spans="1:7" x14ac:dyDescent="0.35">
      <c r="A107">
        <v>398.07</v>
      </c>
      <c r="B107">
        <v>611.35</v>
      </c>
      <c r="C107">
        <v>333.33</v>
      </c>
      <c r="D107">
        <v>160.58000000000001</v>
      </c>
      <c r="E107">
        <v>952.81</v>
      </c>
      <c r="F107">
        <v>438.19</v>
      </c>
      <c r="G107">
        <v>6430</v>
      </c>
    </row>
    <row r="108" spans="1:7" x14ac:dyDescent="0.35">
      <c r="A108">
        <v>855.78</v>
      </c>
      <c r="B108">
        <v>620.44000000000005</v>
      </c>
      <c r="C108">
        <v>763.26</v>
      </c>
      <c r="D108">
        <v>385.05</v>
      </c>
      <c r="E108">
        <v>461.73</v>
      </c>
      <c r="F108">
        <v>58.23</v>
      </c>
      <c r="G108">
        <v>6456</v>
      </c>
    </row>
    <row r="109" spans="1:7" x14ac:dyDescent="0.35">
      <c r="A109">
        <v>319.67</v>
      </c>
      <c r="B109">
        <v>510.24</v>
      </c>
      <c r="C109">
        <v>421.67</v>
      </c>
      <c r="D109">
        <v>851.19</v>
      </c>
      <c r="E109">
        <v>21.56</v>
      </c>
      <c r="F109">
        <v>377.89</v>
      </c>
      <c r="G109">
        <v>6473</v>
      </c>
    </row>
    <row r="110" spans="1:7" x14ac:dyDescent="0.35">
      <c r="A110">
        <v>512.38</v>
      </c>
      <c r="B110">
        <v>250.83</v>
      </c>
      <c r="C110">
        <v>373.78</v>
      </c>
      <c r="D110">
        <v>366.95</v>
      </c>
      <c r="E110">
        <v>987.14</v>
      </c>
      <c r="F110">
        <v>509.03</v>
      </c>
      <c r="G110">
        <v>6477</v>
      </c>
    </row>
    <row r="111" spans="1:7" x14ac:dyDescent="0.35">
      <c r="A111">
        <v>274.3</v>
      </c>
      <c r="B111">
        <v>333.08</v>
      </c>
      <c r="C111">
        <v>614.04999999999995</v>
      </c>
      <c r="D111">
        <v>620.32000000000005</v>
      </c>
      <c r="E111">
        <v>174.87</v>
      </c>
      <c r="F111">
        <v>574.23</v>
      </c>
      <c r="G111">
        <v>6519</v>
      </c>
    </row>
    <row r="112" spans="1:7" x14ac:dyDescent="0.35">
      <c r="A112">
        <v>783.39</v>
      </c>
      <c r="B112">
        <v>185.17</v>
      </c>
      <c r="C112">
        <v>997.6</v>
      </c>
      <c r="D112">
        <v>578.32000000000005</v>
      </c>
      <c r="E112">
        <v>811.54</v>
      </c>
      <c r="F112">
        <v>119.33</v>
      </c>
      <c r="G112">
        <v>6522</v>
      </c>
    </row>
    <row r="113" spans="1:7" x14ac:dyDescent="0.35">
      <c r="A113">
        <v>472.66</v>
      </c>
      <c r="B113">
        <v>288.52999999999997</v>
      </c>
      <c r="C113">
        <v>836.27</v>
      </c>
      <c r="D113">
        <v>679.08</v>
      </c>
      <c r="E113">
        <v>490.43</v>
      </c>
      <c r="F113">
        <v>294</v>
      </c>
      <c r="G113">
        <v>6525</v>
      </c>
    </row>
    <row r="114" spans="1:7" x14ac:dyDescent="0.35">
      <c r="A114">
        <v>147.88999999999999</v>
      </c>
      <c r="B114">
        <v>256.27999999999997</v>
      </c>
      <c r="C114">
        <v>444.81</v>
      </c>
      <c r="D114">
        <v>77.17</v>
      </c>
      <c r="E114">
        <v>736.17</v>
      </c>
      <c r="F114">
        <v>937.95</v>
      </c>
      <c r="G114">
        <v>6559</v>
      </c>
    </row>
    <row r="115" spans="1:7" x14ac:dyDescent="0.35">
      <c r="A115">
        <v>622.53</v>
      </c>
      <c r="B115">
        <v>104.12</v>
      </c>
      <c r="C115">
        <v>565.1</v>
      </c>
      <c r="D115">
        <v>584.88</v>
      </c>
      <c r="E115">
        <v>332.65</v>
      </c>
      <c r="F115">
        <v>574.29999999999995</v>
      </c>
      <c r="G115">
        <v>6561</v>
      </c>
    </row>
    <row r="116" spans="1:7" x14ac:dyDescent="0.35">
      <c r="A116">
        <v>637.70000000000005</v>
      </c>
      <c r="B116">
        <v>33.549999999999997</v>
      </c>
      <c r="C116">
        <v>582.04999999999995</v>
      </c>
      <c r="D116">
        <v>753.24</v>
      </c>
      <c r="E116">
        <v>307.22000000000003</v>
      </c>
      <c r="F116">
        <v>525.67999999999995</v>
      </c>
      <c r="G116">
        <v>6595</v>
      </c>
    </row>
    <row r="117" spans="1:7" x14ac:dyDescent="0.35">
      <c r="A117">
        <v>966.65</v>
      </c>
      <c r="B117">
        <v>20.64</v>
      </c>
      <c r="C117">
        <v>439.86</v>
      </c>
      <c r="D117">
        <v>496.81</v>
      </c>
      <c r="E117">
        <v>282.27</v>
      </c>
      <c r="F117">
        <v>595.38</v>
      </c>
      <c r="G117">
        <v>6598</v>
      </c>
    </row>
    <row r="118" spans="1:7" x14ac:dyDescent="0.35">
      <c r="A118">
        <v>564.09</v>
      </c>
      <c r="B118">
        <v>321.14999999999998</v>
      </c>
      <c r="C118">
        <v>590.16</v>
      </c>
      <c r="D118">
        <v>161.65</v>
      </c>
      <c r="E118">
        <v>109.3</v>
      </c>
      <c r="F118">
        <v>776.77</v>
      </c>
      <c r="G118">
        <v>6603</v>
      </c>
    </row>
    <row r="119" spans="1:7" x14ac:dyDescent="0.35">
      <c r="A119">
        <v>330.77</v>
      </c>
      <c r="B119">
        <v>248.54</v>
      </c>
      <c r="C119">
        <v>161.30000000000001</v>
      </c>
      <c r="D119">
        <v>779.52</v>
      </c>
      <c r="E119">
        <v>310.61</v>
      </c>
      <c r="F119">
        <v>661.73</v>
      </c>
      <c r="G119">
        <v>6613</v>
      </c>
    </row>
    <row r="120" spans="1:7" x14ac:dyDescent="0.35">
      <c r="A120">
        <v>427.73</v>
      </c>
      <c r="B120">
        <v>791.7</v>
      </c>
      <c r="C120">
        <v>179.24</v>
      </c>
      <c r="D120">
        <v>487.63</v>
      </c>
      <c r="E120">
        <v>901.61</v>
      </c>
      <c r="F120">
        <v>211.18</v>
      </c>
      <c r="G120">
        <v>6657</v>
      </c>
    </row>
    <row r="121" spans="1:7" x14ac:dyDescent="0.35">
      <c r="A121">
        <v>187.95</v>
      </c>
      <c r="B121">
        <v>912.23</v>
      </c>
      <c r="C121">
        <v>337.43</v>
      </c>
      <c r="D121">
        <v>206.61</v>
      </c>
      <c r="E121">
        <v>47.44</v>
      </c>
      <c r="F121">
        <v>616.45000000000005</v>
      </c>
      <c r="G121">
        <v>6667</v>
      </c>
    </row>
    <row r="122" spans="1:7" x14ac:dyDescent="0.35">
      <c r="A122">
        <v>237.2</v>
      </c>
      <c r="B122">
        <v>299.47000000000003</v>
      </c>
      <c r="C122">
        <v>798.66</v>
      </c>
      <c r="D122">
        <v>268.19</v>
      </c>
      <c r="E122">
        <v>100.13</v>
      </c>
      <c r="F122">
        <v>828.94</v>
      </c>
      <c r="G122">
        <v>6667</v>
      </c>
    </row>
    <row r="123" spans="1:7" x14ac:dyDescent="0.35">
      <c r="A123">
        <v>350.3</v>
      </c>
      <c r="B123">
        <v>185.3</v>
      </c>
      <c r="C123">
        <v>353.98</v>
      </c>
      <c r="D123">
        <v>574.66</v>
      </c>
      <c r="E123">
        <v>1.1000000000000001</v>
      </c>
      <c r="F123">
        <v>860.7</v>
      </c>
      <c r="G123">
        <v>6678</v>
      </c>
    </row>
    <row r="124" spans="1:7" x14ac:dyDescent="0.35">
      <c r="A124">
        <v>479.78</v>
      </c>
      <c r="B124">
        <v>387.17</v>
      </c>
      <c r="C124">
        <v>447.56</v>
      </c>
      <c r="D124">
        <v>226.57</v>
      </c>
      <c r="E124">
        <v>527.55999999999995</v>
      </c>
      <c r="F124">
        <v>676.01</v>
      </c>
      <c r="G124">
        <v>6693</v>
      </c>
    </row>
    <row r="125" spans="1:7" x14ac:dyDescent="0.35">
      <c r="A125">
        <v>920.76</v>
      </c>
      <c r="B125">
        <v>365.45</v>
      </c>
      <c r="C125">
        <v>142.94999999999999</v>
      </c>
      <c r="D125">
        <v>416.52</v>
      </c>
      <c r="E125">
        <v>875.27</v>
      </c>
      <c r="F125">
        <v>365.21</v>
      </c>
      <c r="G125">
        <v>6708</v>
      </c>
    </row>
    <row r="126" spans="1:7" x14ac:dyDescent="0.35">
      <c r="A126">
        <v>70.41</v>
      </c>
      <c r="B126">
        <v>957.97</v>
      </c>
      <c r="C126">
        <v>459.46</v>
      </c>
      <c r="D126">
        <v>384.3</v>
      </c>
      <c r="E126">
        <v>624.25</v>
      </c>
      <c r="F126">
        <v>325.35000000000002</v>
      </c>
      <c r="G126">
        <v>6724</v>
      </c>
    </row>
    <row r="127" spans="1:7" x14ac:dyDescent="0.35">
      <c r="A127">
        <v>375.35</v>
      </c>
      <c r="B127">
        <v>860.54</v>
      </c>
      <c r="C127">
        <v>694.24</v>
      </c>
      <c r="D127">
        <v>408.09</v>
      </c>
      <c r="E127">
        <v>61.92</v>
      </c>
      <c r="F127">
        <v>325.88</v>
      </c>
      <c r="G127">
        <v>6763</v>
      </c>
    </row>
    <row r="128" spans="1:7" x14ac:dyDescent="0.35">
      <c r="A128">
        <v>458.15</v>
      </c>
      <c r="B128">
        <v>539.02</v>
      </c>
      <c r="C128">
        <v>394.62</v>
      </c>
      <c r="D128">
        <v>829</v>
      </c>
      <c r="E128">
        <v>522.14</v>
      </c>
      <c r="F128">
        <v>240.13</v>
      </c>
      <c r="G128">
        <v>6779</v>
      </c>
    </row>
    <row r="129" spans="1:7" x14ac:dyDescent="0.35">
      <c r="A129">
        <v>904.41</v>
      </c>
      <c r="B129">
        <v>309.92</v>
      </c>
      <c r="C129">
        <v>892.82</v>
      </c>
      <c r="D129">
        <v>39.880000000000003</v>
      </c>
      <c r="E129">
        <v>675.5</v>
      </c>
      <c r="F129">
        <v>451.65</v>
      </c>
      <c r="G129">
        <v>6797</v>
      </c>
    </row>
    <row r="130" spans="1:7" x14ac:dyDescent="0.35">
      <c r="A130">
        <v>767.6</v>
      </c>
      <c r="B130">
        <v>819.62</v>
      </c>
      <c r="C130">
        <v>663.57</v>
      </c>
      <c r="D130">
        <v>144.69</v>
      </c>
      <c r="E130">
        <v>342.12</v>
      </c>
      <c r="F130">
        <v>262.48</v>
      </c>
      <c r="G130">
        <v>6802</v>
      </c>
    </row>
    <row r="131" spans="1:7" x14ac:dyDescent="0.35">
      <c r="A131">
        <v>327.43</v>
      </c>
      <c r="B131">
        <v>325.08999999999997</v>
      </c>
      <c r="C131">
        <v>852.14</v>
      </c>
      <c r="D131">
        <v>786.06</v>
      </c>
      <c r="E131">
        <v>11.18</v>
      </c>
      <c r="F131">
        <v>483.1</v>
      </c>
      <c r="G131">
        <v>6809</v>
      </c>
    </row>
    <row r="132" spans="1:7" x14ac:dyDescent="0.35">
      <c r="A132">
        <v>708.03</v>
      </c>
      <c r="B132">
        <v>846.72</v>
      </c>
      <c r="C132">
        <v>425.3</v>
      </c>
      <c r="D132">
        <v>555.71</v>
      </c>
      <c r="E132">
        <v>208.48</v>
      </c>
      <c r="F132">
        <v>144.38999999999999</v>
      </c>
      <c r="G132">
        <v>6814</v>
      </c>
    </row>
    <row r="133" spans="1:7" x14ac:dyDescent="0.35">
      <c r="A133">
        <v>590.38</v>
      </c>
      <c r="B133">
        <v>541.99</v>
      </c>
      <c r="C133">
        <v>468.96</v>
      </c>
      <c r="D133">
        <v>559.48</v>
      </c>
      <c r="E133">
        <v>688.64</v>
      </c>
      <c r="F133">
        <v>271.45999999999998</v>
      </c>
      <c r="G133">
        <v>6827</v>
      </c>
    </row>
    <row r="134" spans="1:7" x14ac:dyDescent="0.35">
      <c r="A134">
        <v>355.88</v>
      </c>
      <c r="B134">
        <v>450.45</v>
      </c>
      <c r="C134">
        <v>883.78</v>
      </c>
      <c r="D134">
        <v>362.08</v>
      </c>
      <c r="E134">
        <v>757.46</v>
      </c>
      <c r="F134">
        <v>403.82</v>
      </c>
      <c r="G134">
        <v>6828</v>
      </c>
    </row>
    <row r="135" spans="1:7" x14ac:dyDescent="0.35">
      <c r="A135">
        <v>411.39</v>
      </c>
      <c r="B135">
        <v>336.15</v>
      </c>
      <c r="C135">
        <v>206.56</v>
      </c>
      <c r="D135">
        <v>411.67</v>
      </c>
      <c r="E135">
        <v>502.62</v>
      </c>
      <c r="F135">
        <v>763.13</v>
      </c>
      <c r="G135">
        <v>6831</v>
      </c>
    </row>
    <row r="136" spans="1:7" x14ac:dyDescent="0.35">
      <c r="A136">
        <v>493.47</v>
      </c>
      <c r="B136">
        <v>326.11</v>
      </c>
      <c r="C136">
        <v>546.03</v>
      </c>
      <c r="D136">
        <v>406.79</v>
      </c>
      <c r="E136">
        <v>492.74</v>
      </c>
      <c r="F136">
        <v>610.5</v>
      </c>
      <c r="G136">
        <v>6838</v>
      </c>
    </row>
    <row r="137" spans="1:7" x14ac:dyDescent="0.35">
      <c r="A137">
        <v>770.05</v>
      </c>
      <c r="B137">
        <v>501.36</v>
      </c>
      <c r="C137">
        <v>694.6</v>
      </c>
      <c r="D137">
        <v>172.26</v>
      </c>
      <c r="E137">
        <v>572.26</v>
      </c>
      <c r="F137">
        <v>410.56</v>
      </c>
      <c r="G137">
        <v>6851</v>
      </c>
    </row>
    <row r="138" spans="1:7" x14ac:dyDescent="0.35">
      <c r="A138">
        <v>628.35</v>
      </c>
      <c r="B138">
        <v>943.41</v>
      </c>
      <c r="C138">
        <v>461.31</v>
      </c>
      <c r="D138">
        <v>162.85</v>
      </c>
      <c r="E138">
        <v>344.75</v>
      </c>
      <c r="F138">
        <v>318.33</v>
      </c>
      <c r="G138">
        <v>6860</v>
      </c>
    </row>
    <row r="139" spans="1:7" x14ac:dyDescent="0.35">
      <c r="A139">
        <v>408.35</v>
      </c>
      <c r="B139">
        <v>581.63</v>
      </c>
      <c r="C139">
        <v>205.67</v>
      </c>
      <c r="D139">
        <v>712.51</v>
      </c>
      <c r="E139">
        <v>102.98</v>
      </c>
      <c r="F139">
        <v>534.6</v>
      </c>
      <c r="G139">
        <v>6912</v>
      </c>
    </row>
    <row r="140" spans="1:7" x14ac:dyDescent="0.35">
      <c r="A140">
        <v>79.78</v>
      </c>
      <c r="B140">
        <v>798.01</v>
      </c>
      <c r="C140">
        <v>881.29</v>
      </c>
      <c r="D140">
        <v>252.3</v>
      </c>
      <c r="E140">
        <v>680.24</v>
      </c>
      <c r="F140">
        <v>399.95</v>
      </c>
      <c r="G140">
        <v>6929</v>
      </c>
    </row>
    <row r="141" spans="1:7" x14ac:dyDescent="0.35">
      <c r="A141">
        <v>998.1</v>
      </c>
      <c r="B141">
        <v>858.75</v>
      </c>
      <c r="C141">
        <v>781.06</v>
      </c>
      <c r="D141">
        <v>60.61</v>
      </c>
      <c r="E141">
        <v>174.63</v>
      </c>
      <c r="F141">
        <v>213.53</v>
      </c>
      <c r="G141">
        <v>6949</v>
      </c>
    </row>
    <row r="142" spans="1:7" x14ac:dyDescent="0.35">
      <c r="A142">
        <v>540.69000000000005</v>
      </c>
      <c r="B142">
        <v>326.95</v>
      </c>
      <c r="C142">
        <v>362.71</v>
      </c>
      <c r="D142">
        <v>597.94000000000005</v>
      </c>
      <c r="E142">
        <v>255.6</v>
      </c>
      <c r="F142">
        <v>635.29999999999995</v>
      </c>
      <c r="G142">
        <v>6959</v>
      </c>
    </row>
    <row r="143" spans="1:7" x14ac:dyDescent="0.35">
      <c r="A143">
        <v>853.65</v>
      </c>
      <c r="B143">
        <v>958.04</v>
      </c>
      <c r="C143">
        <v>810.77</v>
      </c>
      <c r="D143">
        <v>347.92</v>
      </c>
      <c r="E143">
        <v>120.96</v>
      </c>
      <c r="F143">
        <v>38.61</v>
      </c>
      <c r="G143">
        <v>6966</v>
      </c>
    </row>
    <row r="144" spans="1:7" x14ac:dyDescent="0.35">
      <c r="A144">
        <v>280.45999999999998</v>
      </c>
      <c r="B144">
        <v>676.19</v>
      </c>
      <c r="C144">
        <v>729.46</v>
      </c>
      <c r="D144">
        <v>539.74</v>
      </c>
      <c r="E144">
        <v>548.07000000000005</v>
      </c>
      <c r="F144">
        <v>324.89999999999998</v>
      </c>
      <c r="G144">
        <v>6984</v>
      </c>
    </row>
    <row r="145" spans="1:7" x14ac:dyDescent="0.35">
      <c r="A145">
        <v>909.22</v>
      </c>
      <c r="B145">
        <v>28.38</v>
      </c>
      <c r="C145">
        <v>600.33000000000004</v>
      </c>
      <c r="D145">
        <v>758</v>
      </c>
      <c r="E145">
        <v>872.4</v>
      </c>
      <c r="F145">
        <v>306.31</v>
      </c>
      <c r="G145">
        <v>6987</v>
      </c>
    </row>
    <row r="146" spans="1:7" x14ac:dyDescent="0.35">
      <c r="A146">
        <v>677.28</v>
      </c>
      <c r="B146">
        <v>651.75</v>
      </c>
      <c r="C146">
        <v>68.23</v>
      </c>
      <c r="D146">
        <v>569.20000000000005</v>
      </c>
      <c r="E146">
        <v>100.51</v>
      </c>
      <c r="F146">
        <v>515.51</v>
      </c>
      <c r="G146">
        <v>7003</v>
      </c>
    </row>
    <row r="147" spans="1:7" x14ac:dyDescent="0.35">
      <c r="A147">
        <v>913.39</v>
      </c>
      <c r="B147">
        <v>157.33000000000001</v>
      </c>
      <c r="C147">
        <v>463.79</v>
      </c>
      <c r="D147">
        <v>946.4</v>
      </c>
      <c r="E147">
        <v>13.05</v>
      </c>
      <c r="F147">
        <v>406.3</v>
      </c>
      <c r="G147">
        <v>7006</v>
      </c>
    </row>
    <row r="148" spans="1:7" x14ac:dyDescent="0.35">
      <c r="A148">
        <v>975.65</v>
      </c>
      <c r="B148">
        <v>306.3</v>
      </c>
      <c r="C148">
        <v>835.84</v>
      </c>
      <c r="D148">
        <v>332.31</v>
      </c>
      <c r="E148">
        <v>261.19</v>
      </c>
      <c r="F148">
        <v>435.6</v>
      </c>
      <c r="G148">
        <v>7019</v>
      </c>
    </row>
    <row r="149" spans="1:7" x14ac:dyDescent="0.35">
      <c r="A149">
        <v>93.47</v>
      </c>
      <c r="B149">
        <v>889.82</v>
      </c>
      <c r="C149">
        <v>702.23</v>
      </c>
      <c r="D149">
        <v>31.38</v>
      </c>
      <c r="E149">
        <v>178.92</v>
      </c>
      <c r="F149">
        <v>710.91</v>
      </c>
      <c r="G149">
        <v>7026</v>
      </c>
    </row>
    <row r="150" spans="1:7" x14ac:dyDescent="0.35">
      <c r="A150">
        <v>536.33000000000004</v>
      </c>
      <c r="B150">
        <v>759.45</v>
      </c>
      <c r="C150">
        <v>451.21</v>
      </c>
      <c r="D150">
        <v>653.83000000000004</v>
      </c>
      <c r="E150">
        <v>614.91999999999996</v>
      </c>
      <c r="F150">
        <v>160.29</v>
      </c>
      <c r="G150">
        <v>7044</v>
      </c>
    </row>
    <row r="151" spans="1:7" x14ac:dyDescent="0.35">
      <c r="A151">
        <v>632.92999999999995</v>
      </c>
      <c r="B151">
        <v>653.66</v>
      </c>
      <c r="C151">
        <v>251.56</v>
      </c>
      <c r="D151">
        <v>734</v>
      </c>
      <c r="E151">
        <v>879.12</v>
      </c>
      <c r="F151">
        <v>138.78</v>
      </c>
      <c r="G151">
        <v>7048</v>
      </c>
    </row>
    <row r="152" spans="1:7" x14ac:dyDescent="0.35">
      <c r="A152">
        <v>936.41</v>
      </c>
      <c r="B152">
        <v>624.97</v>
      </c>
      <c r="C152">
        <v>178.87</v>
      </c>
      <c r="D152">
        <v>99.33</v>
      </c>
      <c r="E152">
        <v>899.69</v>
      </c>
      <c r="F152">
        <v>423.56</v>
      </c>
      <c r="G152">
        <v>7054</v>
      </c>
    </row>
    <row r="153" spans="1:7" x14ac:dyDescent="0.35">
      <c r="A153">
        <v>275.45999999999998</v>
      </c>
      <c r="B153">
        <v>334.21</v>
      </c>
      <c r="C153">
        <v>974.15</v>
      </c>
      <c r="D153">
        <v>657.96</v>
      </c>
      <c r="E153">
        <v>338.91</v>
      </c>
      <c r="F153">
        <v>501.63</v>
      </c>
      <c r="G153">
        <v>7087</v>
      </c>
    </row>
    <row r="154" spans="1:7" x14ac:dyDescent="0.35">
      <c r="A154">
        <v>908.42</v>
      </c>
      <c r="B154">
        <v>417.74</v>
      </c>
      <c r="C154">
        <v>358.1</v>
      </c>
      <c r="D154">
        <v>230.22</v>
      </c>
      <c r="E154">
        <v>654.41999999999996</v>
      </c>
      <c r="F154">
        <v>542.41999999999996</v>
      </c>
      <c r="G154">
        <v>7124</v>
      </c>
    </row>
    <row r="155" spans="1:7" x14ac:dyDescent="0.35">
      <c r="A155">
        <v>167.14</v>
      </c>
      <c r="B155">
        <v>943.57</v>
      </c>
      <c r="C155">
        <v>820.53</v>
      </c>
      <c r="D155">
        <v>455</v>
      </c>
      <c r="E155">
        <v>131.76</v>
      </c>
      <c r="F155">
        <v>363.92</v>
      </c>
      <c r="G155">
        <v>7130</v>
      </c>
    </row>
    <row r="156" spans="1:7" x14ac:dyDescent="0.35">
      <c r="A156">
        <v>281.42</v>
      </c>
      <c r="B156">
        <v>538.79999999999995</v>
      </c>
      <c r="C156">
        <v>123.94</v>
      </c>
      <c r="D156">
        <v>349.3</v>
      </c>
      <c r="E156">
        <v>242.77</v>
      </c>
      <c r="F156">
        <v>910.1</v>
      </c>
      <c r="G156">
        <v>7164</v>
      </c>
    </row>
    <row r="157" spans="1:7" x14ac:dyDescent="0.35">
      <c r="A157">
        <v>269.01</v>
      </c>
      <c r="B157">
        <v>390.09</v>
      </c>
      <c r="C157">
        <v>860.02</v>
      </c>
      <c r="D157">
        <v>944.26</v>
      </c>
      <c r="E157">
        <v>607.54999999999995</v>
      </c>
      <c r="F157">
        <v>277.63</v>
      </c>
      <c r="G157">
        <v>7174</v>
      </c>
    </row>
    <row r="158" spans="1:7" x14ac:dyDescent="0.35">
      <c r="A158">
        <v>836.78</v>
      </c>
      <c r="B158">
        <v>395.37</v>
      </c>
      <c r="C158">
        <v>26.66</v>
      </c>
      <c r="D158">
        <v>152.38</v>
      </c>
      <c r="E158">
        <v>786.1</v>
      </c>
      <c r="F158">
        <v>738.4</v>
      </c>
      <c r="G158">
        <v>7175</v>
      </c>
    </row>
    <row r="159" spans="1:7" x14ac:dyDescent="0.35">
      <c r="A159">
        <v>866.83</v>
      </c>
      <c r="B159">
        <v>327.32</v>
      </c>
      <c r="C159">
        <v>20.61</v>
      </c>
      <c r="D159">
        <v>354.38</v>
      </c>
      <c r="E159">
        <v>834.56</v>
      </c>
      <c r="F159">
        <v>638.98</v>
      </c>
      <c r="G159">
        <v>7180</v>
      </c>
    </row>
    <row r="160" spans="1:7" x14ac:dyDescent="0.35">
      <c r="A160">
        <v>735.78</v>
      </c>
      <c r="B160">
        <v>661.81</v>
      </c>
      <c r="C160">
        <v>282</v>
      </c>
      <c r="D160">
        <v>102.96</v>
      </c>
      <c r="E160">
        <v>588.45000000000005</v>
      </c>
      <c r="F160">
        <v>585.74</v>
      </c>
      <c r="G160">
        <v>7181</v>
      </c>
    </row>
    <row r="161" spans="1:7" x14ac:dyDescent="0.35">
      <c r="A161">
        <v>72.75</v>
      </c>
      <c r="B161">
        <v>880.44</v>
      </c>
      <c r="C161">
        <v>239.08</v>
      </c>
      <c r="D161">
        <v>949.07</v>
      </c>
      <c r="E161">
        <v>902.65</v>
      </c>
      <c r="F161">
        <v>148.75</v>
      </c>
      <c r="G161">
        <v>7192</v>
      </c>
    </row>
    <row r="162" spans="1:7" x14ac:dyDescent="0.35">
      <c r="A162">
        <v>196.22</v>
      </c>
      <c r="B162">
        <v>945.14</v>
      </c>
      <c r="C162">
        <v>807.19</v>
      </c>
      <c r="D162">
        <v>314.81</v>
      </c>
      <c r="E162">
        <v>691.84</v>
      </c>
      <c r="F162">
        <v>293.48</v>
      </c>
      <c r="G162">
        <v>7219</v>
      </c>
    </row>
    <row r="163" spans="1:7" x14ac:dyDescent="0.35">
      <c r="A163">
        <v>394.3</v>
      </c>
      <c r="B163">
        <v>741.23</v>
      </c>
      <c r="C163">
        <v>353.72</v>
      </c>
      <c r="D163">
        <v>320.02999999999997</v>
      </c>
      <c r="E163">
        <v>956.05</v>
      </c>
      <c r="F163">
        <v>436.94</v>
      </c>
      <c r="G163">
        <v>7231</v>
      </c>
    </row>
    <row r="164" spans="1:7" x14ac:dyDescent="0.35">
      <c r="A164">
        <v>573.64</v>
      </c>
      <c r="B164">
        <v>196.64</v>
      </c>
      <c r="C164">
        <v>802.07</v>
      </c>
      <c r="D164">
        <v>109.31</v>
      </c>
      <c r="E164">
        <v>351.06</v>
      </c>
      <c r="F164">
        <v>902.89</v>
      </c>
      <c r="G164">
        <v>7236</v>
      </c>
    </row>
    <row r="165" spans="1:7" x14ac:dyDescent="0.35">
      <c r="A165">
        <v>4.95</v>
      </c>
      <c r="B165">
        <v>667.51</v>
      </c>
      <c r="C165">
        <v>14.86</v>
      </c>
      <c r="D165">
        <v>873.18</v>
      </c>
      <c r="E165">
        <v>825.37</v>
      </c>
      <c r="F165">
        <v>510.47</v>
      </c>
      <c r="G165">
        <v>7236</v>
      </c>
    </row>
    <row r="166" spans="1:7" x14ac:dyDescent="0.35">
      <c r="A166">
        <v>132.99</v>
      </c>
      <c r="B166">
        <v>757.7</v>
      </c>
      <c r="C166">
        <v>167.64</v>
      </c>
      <c r="D166">
        <v>230.73</v>
      </c>
      <c r="E166">
        <v>297.79000000000002</v>
      </c>
      <c r="F166">
        <v>886.06</v>
      </c>
      <c r="G166">
        <v>7282</v>
      </c>
    </row>
    <row r="167" spans="1:7" x14ac:dyDescent="0.35">
      <c r="A167">
        <v>384.82</v>
      </c>
      <c r="B167">
        <v>879.57</v>
      </c>
      <c r="C167">
        <v>735.47</v>
      </c>
      <c r="D167">
        <v>872.34</v>
      </c>
      <c r="E167">
        <v>371.94</v>
      </c>
      <c r="F167">
        <v>41.79</v>
      </c>
      <c r="G167">
        <v>7308</v>
      </c>
    </row>
    <row r="168" spans="1:7" x14ac:dyDescent="0.35">
      <c r="A168">
        <v>766.86</v>
      </c>
      <c r="B168">
        <v>164.18</v>
      </c>
      <c r="C168">
        <v>72.95</v>
      </c>
      <c r="D168">
        <v>471.67</v>
      </c>
      <c r="E168">
        <v>959.81</v>
      </c>
      <c r="F168">
        <v>720.36</v>
      </c>
      <c r="G168">
        <v>7316</v>
      </c>
    </row>
    <row r="169" spans="1:7" x14ac:dyDescent="0.35">
      <c r="A169">
        <v>516.34</v>
      </c>
      <c r="B169">
        <v>682.94</v>
      </c>
      <c r="C169">
        <v>670.66</v>
      </c>
      <c r="D169">
        <v>593.97</v>
      </c>
      <c r="E169">
        <v>665.91</v>
      </c>
      <c r="F169">
        <v>237.67</v>
      </c>
      <c r="G169">
        <v>7321</v>
      </c>
    </row>
    <row r="170" spans="1:7" x14ac:dyDescent="0.35">
      <c r="A170">
        <v>670.26</v>
      </c>
      <c r="B170">
        <v>56.23</v>
      </c>
      <c r="C170">
        <v>487.73</v>
      </c>
      <c r="D170">
        <v>679.19</v>
      </c>
      <c r="E170">
        <v>179.2</v>
      </c>
      <c r="F170">
        <v>789.95</v>
      </c>
      <c r="G170">
        <v>7331</v>
      </c>
    </row>
    <row r="171" spans="1:7" x14ac:dyDescent="0.35">
      <c r="A171">
        <v>249.8</v>
      </c>
      <c r="B171">
        <v>487.18</v>
      </c>
      <c r="C171">
        <v>922.77</v>
      </c>
      <c r="D171">
        <v>18.489999999999998</v>
      </c>
      <c r="E171">
        <v>510.91</v>
      </c>
      <c r="F171">
        <v>837.58</v>
      </c>
      <c r="G171">
        <v>7339</v>
      </c>
    </row>
    <row r="172" spans="1:7" x14ac:dyDescent="0.35">
      <c r="A172">
        <v>707.06</v>
      </c>
      <c r="B172">
        <v>642.66</v>
      </c>
      <c r="C172">
        <v>274.79000000000002</v>
      </c>
      <c r="D172">
        <v>213.33</v>
      </c>
      <c r="E172">
        <v>984.21</v>
      </c>
      <c r="F172">
        <v>481.27</v>
      </c>
      <c r="G172">
        <v>7383</v>
      </c>
    </row>
    <row r="173" spans="1:7" x14ac:dyDescent="0.35">
      <c r="A173">
        <v>781.15</v>
      </c>
      <c r="B173">
        <v>552.75</v>
      </c>
      <c r="C173">
        <v>174.21</v>
      </c>
      <c r="D173">
        <v>601.86</v>
      </c>
      <c r="E173">
        <v>777.93</v>
      </c>
      <c r="F173">
        <v>366.76</v>
      </c>
      <c r="G173">
        <v>7383</v>
      </c>
    </row>
    <row r="174" spans="1:7" x14ac:dyDescent="0.35">
      <c r="A174">
        <v>927.85</v>
      </c>
      <c r="B174">
        <v>609.14</v>
      </c>
      <c r="C174">
        <v>185.13</v>
      </c>
      <c r="D174">
        <v>117.63</v>
      </c>
      <c r="E174">
        <v>326.14999999999998</v>
      </c>
      <c r="F174">
        <v>685.77</v>
      </c>
      <c r="G174">
        <v>7395</v>
      </c>
    </row>
    <row r="175" spans="1:7" x14ac:dyDescent="0.35">
      <c r="A175">
        <v>830.84</v>
      </c>
      <c r="B175">
        <v>240.22</v>
      </c>
      <c r="C175">
        <v>303.98</v>
      </c>
      <c r="D175">
        <v>793.12</v>
      </c>
      <c r="E175">
        <v>739.97</v>
      </c>
      <c r="F175">
        <v>430.35</v>
      </c>
      <c r="G175">
        <v>7423</v>
      </c>
    </row>
    <row r="176" spans="1:7" x14ac:dyDescent="0.35">
      <c r="A176">
        <v>599.91999999999996</v>
      </c>
      <c r="B176">
        <v>832.48</v>
      </c>
      <c r="C176">
        <v>116.6</v>
      </c>
      <c r="D176">
        <v>296.04000000000002</v>
      </c>
      <c r="E176">
        <v>970.38</v>
      </c>
      <c r="F176">
        <v>415.97</v>
      </c>
      <c r="G176">
        <v>7425</v>
      </c>
    </row>
    <row r="177" spans="1:7" x14ac:dyDescent="0.35">
      <c r="A177">
        <v>142.99</v>
      </c>
      <c r="B177">
        <v>644.11</v>
      </c>
      <c r="C177">
        <v>93.04</v>
      </c>
      <c r="D177">
        <v>221.03</v>
      </c>
      <c r="E177">
        <v>547.35</v>
      </c>
      <c r="F177">
        <v>968.01</v>
      </c>
      <c r="G177">
        <v>7430</v>
      </c>
    </row>
    <row r="178" spans="1:7" x14ac:dyDescent="0.35">
      <c r="A178">
        <v>16.190000000000001</v>
      </c>
      <c r="B178">
        <v>678.98</v>
      </c>
      <c r="C178">
        <v>522.04999999999995</v>
      </c>
      <c r="D178">
        <v>644.91</v>
      </c>
      <c r="E178">
        <v>41.61</v>
      </c>
      <c r="F178">
        <v>743.54</v>
      </c>
      <c r="G178">
        <v>7455</v>
      </c>
    </row>
    <row r="179" spans="1:7" x14ac:dyDescent="0.35">
      <c r="A179">
        <v>584.41</v>
      </c>
      <c r="B179">
        <v>98.11</v>
      </c>
      <c r="C179">
        <v>55.77</v>
      </c>
      <c r="D179">
        <v>656</v>
      </c>
      <c r="E179">
        <v>313.47000000000003</v>
      </c>
      <c r="F179">
        <v>972.78</v>
      </c>
      <c r="G179">
        <v>7455</v>
      </c>
    </row>
    <row r="180" spans="1:7" x14ac:dyDescent="0.35">
      <c r="A180">
        <v>265.94</v>
      </c>
      <c r="B180">
        <v>768.47</v>
      </c>
      <c r="C180">
        <v>756.8</v>
      </c>
      <c r="D180">
        <v>891.25</v>
      </c>
      <c r="E180">
        <v>481.1</v>
      </c>
      <c r="F180">
        <v>179.55</v>
      </c>
      <c r="G180">
        <v>7495</v>
      </c>
    </row>
    <row r="181" spans="1:7" x14ac:dyDescent="0.35">
      <c r="A181">
        <v>383.98</v>
      </c>
      <c r="B181">
        <v>654.54</v>
      </c>
      <c r="C181">
        <v>678.22</v>
      </c>
      <c r="D181">
        <v>651.29</v>
      </c>
      <c r="E181">
        <v>415.85</v>
      </c>
      <c r="F181">
        <v>411.91</v>
      </c>
      <c r="G181">
        <v>7529</v>
      </c>
    </row>
    <row r="182" spans="1:7" x14ac:dyDescent="0.35">
      <c r="A182">
        <v>976.88</v>
      </c>
      <c r="B182">
        <v>832.08</v>
      </c>
      <c r="C182">
        <v>79.47</v>
      </c>
      <c r="D182">
        <v>619.22</v>
      </c>
      <c r="E182">
        <v>368.12</v>
      </c>
      <c r="F182">
        <v>260.66000000000003</v>
      </c>
      <c r="G182">
        <v>7584</v>
      </c>
    </row>
    <row r="183" spans="1:7" x14ac:dyDescent="0.35">
      <c r="A183">
        <v>515.55999999999995</v>
      </c>
      <c r="B183">
        <v>765.58</v>
      </c>
      <c r="C183">
        <v>670.14</v>
      </c>
      <c r="D183">
        <v>79.95</v>
      </c>
      <c r="E183">
        <v>525.42999999999995</v>
      </c>
      <c r="F183">
        <v>609.28</v>
      </c>
      <c r="G183">
        <v>7585</v>
      </c>
    </row>
    <row r="184" spans="1:7" x14ac:dyDescent="0.35">
      <c r="A184">
        <v>773.82</v>
      </c>
      <c r="B184">
        <v>831.53</v>
      </c>
      <c r="C184">
        <v>960.7</v>
      </c>
      <c r="D184">
        <v>353.72</v>
      </c>
      <c r="E184">
        <v>394.54</v>
      </c>
      <c r="F184">
        <v>192.38</v>
      </c>
      <c r="G184">
        <v>7611</v>
      </c>
    </row>
    <row r="185" spans="1:7" x14ac:dyDescent="0.35">
      <c r="A185">
        <v>79.680000000000007</v>
      </c>
      <c r="B185">
        <v>657.09</v>
      </c>
      <c r="C185">
        <v>738.08</v>
      </c>
      <c r="D185">
        <v>360.38</v>
      </c>
      <c r="E185">
        <v>145.03</v>
      </c>
      <c r="F185">
        <v>827.38</v>
      </c>
      <c r="G185">
        <v>7617</v>
      </c>
    </row>
    <row r="186" spans="1:7" x14ac:dyDescent="0.35">
      <c r="A186">
        <v>507.13</v>
      </c>
      <c r="B186">
        <v>612.27</v>
      </c>
      <c r="C186">
        <v>230.67</v>
      </c>
      <c r="D186">
        <v>142.96</v>
      </c>
      <c r="E186">
        <v>171.79</v>
      </c>
      <c r="F186">
        <v>965.77</v>
      </c>
      <c r="G186">
        <v>7627</v>
      </c>
    </row>
    <row r="187" spans="1:7" x14ac:dyDescent="0.35">
      <c r="A187">
        <v>584.53</v>
      </c>
      <c r="B187">
        <v>299.73</v>
      </c>
      <c r="C187">
        <v>831.96</v>
      </c>
      <c r="D187">
        <v>573.63</v>
      </c>
      <c r="E187">
        <v>898.26</v>
      </c>
      <c r="F187">
        <v>452.69</v>
      </c>
      <c r="G187">
        <v>7636</v>
      </c>
    </row>
    <row r="188" spans="1:7" x14ac:dyDescent="0.35">
      <c r="A188">
        <v>322</v>
      </c>
      <c r="B188">
        <v>605.12</v>
      </c>
      <c r="C188">
        <v>47.46</v>
      </c>
      <c r="D188">
        <v>531.5</v>
      </c>
      <c r="E188">
        <v>839.57</v>
      </c>
      <c r="F188">
        <v>694.12</v>
      </c>
      <c r="G188">
        <v>7639</v>
      </c>
    </row>
    <row r="189" spans="1:7" x14ac:dyDescent="0.35">
      <c r="A189">
        <v>225.69</v>
      </c>
      <c r="B189">
        <v>971.12</v>
      </c>
      <c r="C189">
        <v>357.07</v>
      </c>
      <c r="D189">
        <v>932.19</v>
      </c>
      <c r="E189">
        <v>165.56</v>
      </c>
      <c r="F189">
        <v>307.39999999999998</v>
      </c>
      <c r="G189">
        <v>7656</v>
      </c>
    </row>
    <row r="190" spans="1:7" x14ac:dyDescent="0.35">
      <c r="A190">
        <v>810.69</v>
      </c>
      <c r="B190">
        <v>34.08</v>
      </c>
      <c r="C190">
        <v>738.91</v>
      </c>
      <c r="D190">
        <v>962.41</v>
      </c>
      <c r="E190">
        <v>77.52</v>
      </c>
      <c r="F190">
        <v>581.26</v>
      </c>
      <c r="G190">
        <v>7659</v>
      </c>
    </row>
    <row r="191" spans="1:7" x14ac:dyDescent="0.35">
      <c r="A191">
        <v>111.67</v>
      </c>
      <c r="B191">
        <v>325.81</v>
      </c>
      <c r="C191">
        <v>846.96</v>
      </c>
      <c r="D191">
        <v>823.89</v>
      </c>
      <c r="E191">
        <v>815.57</v>
      </c>
      <c r="F191">
        <v>537.87</v>
      </c>
      <c r="G191">
        <v>7666</v>
      </c>
    </row>
    <row r="192" spans="1:7" x14ac:dyDescent="0.35">
      <c r="A192">
        <v>479.95</v>
      </c>
      <c r="B192">
        <v>842.11</v>
      </c>
      <c r="C192">
        <v>196.97</v>
      </c>
      <c r="D192">
        <v>595.41</v>
      </c>
      <c r="E192">
        <v>883.59</v>
      </c>
      <c r="F192">
        <v>337.1</v>
      </c>
      <c r="G192">
        <v>7677</v>
      </c>
    </row>
    <row r="193" spans="1:7" x14ac:dyDescent="0.35">
      <c r="A193">
        <v>929.58</v>
      </c>
      <c r="B193">
        <v>532.21</v>
      </c>
      <c r="C193">
        <v>736.11</v>
      </c>
      <c r="D193">
        <v>557.15</v>
      </c>
      <c r="E193">
        <v>775.83</v>
      </c>
      <c r="F193">
        <v>206.43</v>
      </c>
      <c r="G193">
        <v>7723</v>
      </c>
    </row>
    <row r="194" spans="1:7" x14ac:dyDescent="0.35">
      <c r="A194">
        <v>341.21</v>
      </c>
      <c r="B194">
        <v>535.35</v>
      </c>
      <c r="C194">
        <v>820.88</v>
      </c>
      <c r="D194">
        <v>44.73</v>
      </c>
      <c r="E194">
        <v>730.23</v>
      </c>
      <c r="F194">
        <v>807.56</v>
      </c>
      <c r="G194">
        <v>7737</v>
      </c>
    </row>
    <row r="195" spans="1:7" x14ac:dyDescent="0.35">
      <c r="A195">
        <v>322.35000000000002</v>
      </c>
      <c r="B195">
        <v>681.22</v>
      </c>
      <c r="C195">
        <v>640.29</v>
      </c>
      <c r="D195">
        <v>343.65</v>
      </c>
      <c r="E195">
        <v>534.22</v>
      </c>
      <c r="F195">
        <v>648.71</v>
      </c>
      <c r="G195">
        <v>7737</v>
      </c>
    </row>
    <row r="196" spans="1:7" x14ac:dyDescent="0.35">
      <c r="A196">
        <v>207.49</v>
      </c>
      <c r="B196">
        <v>417.62</v>
      </c>
      <c r="C196">
        <v>331.3</v>
      </c>
      <c r="D196">
        <v>484.32</v>
      </c>
      <c r="E196">
        <v>849.61</v>
      </c>
      <c r="F196">
        <v>845.14</v>
      </c>
      <c r="G196">
        <v>7782</v>
      </c>
    </row>
    <row r="197" spans="1:7" x14ac:dyDescent="0.35">
      <c r="A197">
        <v>533.6</v>
      </c>
      <c r="B197">
        <v>633.38</v>
      </c>
      <c r="C197">
        <v>605.78</v>
      </c>
      <c r="D197">
        <v>906.55</v>
      </c>
      <c r="E197">
        <v>332.73</v>
      </c>
      <c r="F197">
        <v>312.64</v>
      </c>
      <c r="G197">
        <v>7784</v>
      </c>
    </row>
    <row r="198" spans="1:7" x14ac:dyDescent="0.35">
      <c r="A198">
        <v>481.36</v>
      </c>
      <c r="B198">
        <v>142.47999999999999</v>
      </c>
      <c r="C198">
        <v>493.66</v>
      </c>
      <c r="D198">
        <v>588.1</v>
      </c>
      <c r="E198">
        <v>784.36</v>
      </c>
      <c r="F198">
        <v>814.73</v>
      </c>
      <c r="G198">
        <v>7803</v>
      </c>
    </row>
    <row r="199" spans="1:7" x14ac:dyDescent="0.35">
      <c r="A199">
        <v>357.67</v>
      </c>
      <c r="B199">
        <v>945.38</v>
      </c>
      <c r="C199">
        <v>924.43</v>
      </c>
      <c r="D199">
        <v>586.16999999999996</v>
      </c>
      <c r="E199">
        <v>868.45</v>
      </c>
      <c r="F199">
        <v>85.29</v>
      </c>
      <c r="G199">
        <v>7806</v>
      </c>
    </row>
    <row r="200" spans="1:7" x14ac:dyDescent="0.35">
      <c r="A200">
        <v>503.08</v>
      </c>
      <c r="B200">
        <v>875.25</v>
      </c>
      <c r="C200">
        <v>57.35</v>
      </c>
      <c r="D200">
        <v>837.4</v>
      </c>
      <c r="E200">
        <v>49.45</v>
      </c>
      <c r="F200">
        <v>493.39</v>
      </c>
      <c r="G200">
        <v>7838</v>
      </c>
    </row>
    <row r="201" spans="1:7" x14ac:dyDescent="0.35">
      <c r="A201">
        <v>524.13</v>
      </c>
      <c r="B201">
        <v>762.87</v>
      </c>
      <c r="C201">
        <v>327.47000000000003</v>
      </c>
      <c r="D201">
        <v>236.32</v>
      </c>
      <c r="E201">
        <v>128.59</v>
      </c>
      <c r="F201">
        <v>817.47</v>
      </c>
      <c r="G201">
        <v>7848</v>
      </c>
    </row>
    <row r="202" spans="1:7" x14ac:dyDescent="0.35">
      <c r="A202">
        <v>594.84</v>
      </c>
      <c r="B202">
        <v>79.44</v>
      </c>
      <c r="C202">
        <v>172.14</v>
      </c>
      <c r="D202">
        <v>622.86</v>
      </c>
      <c r="E202">
        <v>795</v>
      </c>
      <c r="F202">
        <v>909.79</v>
      </c>
      <c r="G202">
        <v>7850</v>
      </c>
    </row>
    <row r="203" spans="1:7" x14ac:dyDescent="0.35">
      <c r="A203">
        <v>981.93</v>
      </c>
      <c r="B203">
        <v>6.37</v>
      </c>
      <c r="C203">
        <v>686.03</v>
      </c>
      <c r="D203">
        <v>398.59</v>
      </c>
      <c r="E203">
        <v>177.39</v>
      </c>
      <c r="F203">
        <v>912.46</v>
      </c>
      <c r="G203">
        <v>7869</v>
      </c>
    </row>
    <row r="204" spans="1:7" x14ac:dyDescent="0.35">
      <c r="A204">
        <v>631.14</v>
      </c>
      <c r="B204">
        <v>207.04</v>
      </c>
      <c r="C204">
        <v>939.62</v>
      </c>
      <c r="D204">
        <v>358.88</v>
      </c>
      <c r="E204">
        <v>515.59</v>
      </c>
      <c r="F204">
        <v>778.49</v>
      </c>
      <c r="G204">
        <v>7910</v>
      </c>
    </row>
    <row r="205" spans="1:7" x14ac:dyDescent="0.35">
      <c r="A205">
        <v>955.97</v>
      </c>
      <c r="B205">
        <v>890.21</v>
      </c>
      <c r="C205">
        <v>343.96</v>
      </c>
      <c r="D205">
        <v>609.33000000000004</v>
      </c>
      <c r="E205">
        <v>62.99</v>
      </c>
      <c r="F205">
        <v>307.14</v>
      </c>
      <c r="G205">
        <v>7937</v>
      </c>
    </row>
    <row r="206" spans="1:7" x14ac:dyDescent="0.35">
      <c r="A206">
        <v>721.5</v>
      </c>
      <c r="B206">
        <v>561.22</v>
      </c>
      <c r="C206">
        <v>528.76</v>
      </c>
      <c r="D206">
        <v>887.1</v>
      </c>
      <c r="E206">
        <v>3.28</v>
      </c>
      <c r="F206">
        <v>450.98</v>
      </c>
      <c r="G206">
        <v>7949</v>
      </c>
    </row>
    <row r="207" spans="1:7" x14ac:dyDescent="0.35">
      <c r="A207">
        <v>906.84</v>
      </c>
      <c r="B207">
        <v>187.21</v>
      </c>
      <c r="C207">
        <v>676.99</v>
      </c>
      <c r="D207">
        <v>655.5</v>
      </c>
      <c r="E207">
        <v>321.58999999999997</v>
      </c>
      <c r="F207">
        <v>632.86</v>
      </c>
      <c r="G207">
        <v>7964</v>
      </c>
    </row>
    <row r="208" spans="1:7" x14ac:dyDescent="0.35">
      <c r="A208">
        <v>8.84</v>
      </c>
      <c r="B208">
        <v>416.59</v>
      </c>
      <c r="C208">
        <v>716</v>
      </c>
      <c r="D208">
        <v>949.21</v>
      </c>
      <c r="E208">
        <v>624.59</v>
      </c>
      <c r="F208">
        <v>623.30999999999995</v>
      </c>
      <c r="G208">
        <v>7966</v>
      </c>
    </row>
    <row r="209" spans="1:7" x14ac:dyDescent="0.35">
      <c r="A209">
        <v>333.54</v>
      </c>
      <c r="B209">
        <v>796.11</v>
      </c>
      <c r="C209">
        <v>516.83000000000004</v>
      </c>
      <c r="D209">
        <v>794.89</v>
      </c>
      <c r="E209">
        <v>193.18</v>
      </c>
      <c r="F209">
        <v>481.94</v>
      </c>
      <c r="G209">
        <v>7970</v>
      </c>
    </row>
    <row r="210" spans="1:7" x14ac:dyDescent="0.35">
      <c r="A210">
        <v>204.8</v>
      </c>
      <c r="B210">
        <v>416.06</v>
      </c>
      <c r="C210">
        <v>743.94</v>
      </c>
      <c r="D210">
        <v>884.94</v>
      </c>
      <c r="E210">
        <v>11.75</v>
      </c>
      <c r="F210">
        <v>750.43</v>
      </c>
      <c r="G210">
        <v>8000</v>
      </c>
    </row>
    <row r="211" spans="1:7" x14ac:dyDescent="0.35">
      <c r="A211">
        <v>675.29</v>
      </c>
      <c r="B211">
        <v>182</v>
      </c>
      <c r="C211">
        <v>805.35</v>
      </c>
      <c r="D211">
        <v>547.91999999999996</v>
      </c>
      <c r="E211">
        <v>414.81</v>
      </c>
      <c r="F211">
        <v>769.94</v>
      </c>
      <c r="G211">
        <v>8039</v>
      </c>
    </row>
    <row r="212" spans="1:7" x14ac:dyDescent="0.35">
      <c r="A212">
        <v>668.24</v>
      </c>
      <c r="B212">
        <v>798.99</v>
      </c>
      <c r="C212">
        <v>171.95</v>
      </c>
      <c r="D212">
        <v>283.05</v>
      </c>
      <c r="E212">
        <v>546.02</v>
      </c>
      <c r="F212">
        <v>677.84</v>
      </c>
      <c r="G212">
        <v>8078</v>
      </c>
    </row>
    <row r="213" spans="1:7" x14ac:dyDescent="0.35">
      <c r="A213">
        <v>777.1</v>
      </c>
      <c r="B213">
        <v>202.09</v>
      </c>
      <c r="C213">
        <v>699.92</v>
      </c>
      <c r="D213">
        <v>244.74</v>
      </c>
      <c r="E213">
        <v>471.08</v>
      </c>
      <c r="F213">
        <v>920.77</v>
      </c>
      <c r="G213">
        <v>8088</v>
      </c>
    </row>
    <row r="214" spans="1:7" x14ac:dyDescent="0.35">
      <c r="A214">
        <v>537.75</v>
      </c>
      <c r="B214">
        <v>865.19</v>
      </c>
      <c r="C214">
        <v>768.61</v>
      </c>
      <c r="D214">
        <v>626.87</v>
      </c>
      <c r="E214">
        <v>702.96</v>
      </c>
      <c r="F214">
        <v>211.92</v>
      </c>
      <c r="G214">
        <v>8093</v>
      </c>
    </row>
    <row r="215" spans="1:7" x14ac:dyDescent="0.35">
      <c r="A215">
        <v>928.46</v>
      </c>
      <c r="B215">
        <v>525.72</v>
      </c>
      <c r="C215">
        <v>584.62</v>
      </c>
      <c r="D215">
        <v>709.57</v>
      </c>
      <c r="E215">
        <v>351.45</v>
      </c>
      <c r="F215">
        <v>392.49</v>
      </c>
      <c r="G215">
        <v>8098</v>
      </c>
    </row>
    <row r="216" spans="1:7" x14ac:dyDescent="0.35">
      <c r="A216">
        <v>814.57</v>
      </c>
      <c r="B216">
        <v>795.23</v>
      </c>
      <c r="C216">
        <v>539.03</v>
      </c>
      <c r="D216">
        <v>630.16</v>
      </c>
      <c r="E216">
        <v>150.16999999999999</v>
      </c>
      <c r="F216">
        <v>378.63</v>
      </c>
      <c r="G216">
        <v>8099</v>
      </c>
    </row>
    <row r="217" spans="1:7" x14ac:dyDescent="0.35">
      <c r="A217">
        <v>972.28</v>
      </c>
      <c r="B217">
        <v>816.97</v>
      </c>
      <c r="C217">
        <v>430.3</v>
      </c>
      <c r="D217">
        <v>401.46</v>
      </c>
      <c r="E217">
        <v>555.19000000000005</v>
      </c>
      <c r="F217">
        <v>351.3</v>
      </c>
      <c r="G217">
        <v>8130</v>
      </c>
    </row>
    <row r="218" spans="1:7" x14ac:dyDescent="0.35">
      <c r="A218">
        <v>990.33</v>
      </c>
      <c r="B218">
        <v>642.99</v>
      </c>
      <c r="C218">
        <v>823.74</v>
      </c>
      <c r="D218">
        <v>986.35</v>
      </c>
      <c r="E218">
        <v>422.92</v>
      </c>
      <c r="F218">
        <v>14.64</v>
      </c>
      <c r="G218">
        <v>8169</v>
      </c>
    </row>
    <row r="219" spans="1:7" x14ac:dyDescent="0.35">
      <c r="A219">
        <v>217.94</v>
      </c>
      <c r="B219">
        <v>588.9</v>
      </c>
      <c r="C219">
        <v>811.95</v>
      </c>
      <c r="D219">
        <v>617.71</v>
      </c>
      <c r="E219">
        <v>922.97</v>
      </c>
      <c r="F219">
        <v>525.86</v>
      </c>
      <c r="G219">
        <v>8175</v>
      </c>
    </row>
    <row r="220" spans="1:7" x14ac:dyDescent="0.35">
      <c r="A220">
        <v>14.03</v>
      </c>
      <c r="B220">
        <v>659.34</v>
      </c>
      <c r="C220">
        <v>112.32</v>
      </c>
      <c r="D220">
        <v>425.96</v>
      </c>
      <c r="E220">
        <v>998.3</v>
      </c>
      <c r="F220">
        <v>936.46</v>
      </c>
      <c r="G220">
        <v>8178</v>
      </c>
    </row>
    <row r="221" spans="1:7" x14ac:dyDescent="0.35">
      <c r="A221">
        <v>476.45</v>
      </c>
      <c r="B221">
        <v>884.77</v>
      </c>
      <c r="C221">
        <v>301.79000000000002</v>
      </c>
      <c r="D221">
        <v>802.3</v>
      </c>
      <c r="E221">
        <v>434.82</v>
      </c>
      <c r="F221">
        <v>401.69</v>
      </c>
      <c r="G221">
        <v>8187</v>
      </c>
    </row>
    <row r="222" spans="1:7" x14ac:dyDescent="0.35">
      <c r="A222">
        <v>377.42</v>
      </c>
      <c r="B222">
        <v>813.58</v>
      </c>
      <c r="C222">
        <v>167.37</v>
      </c>
      <c r="D222">
        <v>588.21</v>
      </c>
      <c r="E222">
        <v>966.39</v>
      </c>
      <c r="F222">
        <v>532.65</v>
      </c>
      <c r="G222">
        <v>8198</v>
      </c>
    </row>
    <row r="223" spans="1:7" x14ac:dyDescent="0.35">
      <c r="A223">
        <v>367.73</v>
      </c>
      <c r="B223">
        <v>824.44</v>
      </c>
      <c r="C223">
        <v>566.91</v>
      </c>
      <c r="D223">
        <v>767.46</v>
      </c>
      <c r="E223">
        <v>781.79</v>
      </c>
      <c r="F223">
        <v>327.23</v>
      </c>
      <c r="G223">
        <v>8216</v>
      </c>
    </row>
    <row r="224" spans="1:7" x14ac:dyDescent="0.35">
      <c r="A224">
        <v>671.4</v>
      </c>
      <c r="B224">
        <v>440.07</v>
      </c>
      <c r="C224">
        <v>891.2</v>
      </c>
      <c r="D224">
        <v>496.54</v>
      </c>
      <c r="E224">
        <v>168.1</v>
      </c>
      <c r="F224">
        <v>693.94</v>
      </c>
      <c r="G224">
        <v>8230</v>
      </c>
    </row>
    <row r="225" spans="1:7" x14ac:dyDescent="0.35">
      <c r="A225">
        <v>461.89</v>
      </c>
      <c r="B225">
        <v>638.91</v>
      </c>
      <c r="C225">
        <v>566.4</v>
      </c>
      <c r="D225">
        <v>48</v>
      </c>
      <c r="E225">
        <v>677.84</v>
      </c>
      <c r="F225">
        <v>907.75</v>
      </c>
      <c r="G225">
        <v>8248</v>
      </c>
    </row>
    <row r="226" spans="1:7" x14ac:dyDescent="0.35">
      <c r="A226">
        <v>259.43</v>
      </c>
      <c r="B226">
        <v>329.67</v>
      </c>
      <c r="C226">
        <v>656.14</v>
      </c>
      <c r="D226">
        <v>914.94</v>
      </c>
      <c r="E226">
        <v>703.49</v>
      </c>
      <c r="F226">
        <v>662.19</v>
      </c>
      <c r="G226">
        <v>8277</v>
      </c>
    </row>
    <row r="227" spans="1:7" x14ac:dyDescent="0.35">
      <c r="A227">
        <v>920.06</v>
      </c>
      <c r="B227">
        <v>668.16</v>
      </c>
      <c r="C227">
        <v>771.18</v>
      </c>
      <c r="D227">
        <v>37.54</v>
      </c>
      <c r="E227">
        <v>107.77</v>
      </c>
      <c r="F227">
        <v>765.11</v>
      </c>
      <c r="G227">
        <v>8281</v>
      </c>
    </row>
    <row r="228" spans="1:7" x14ac:dyDescent="0.35">
      <c r="A228">
        <v>143.05000000000001</v>
      </c>
      <c r="B228">
        <v>722.7</v>
      </c>
      <c r="C228">
        <v>141.99</v>
      </c>
      <c r="D228">
        <v>953.58</v>
      </c>
      <c r="E228">
        <v>48.53</v>
      </c>
      <c r="F228">
        <v>797.64</v>
      </c>
      <c r="G228">
        <v>8297</v>
      </c>
    </row>
    <row r="229" spans="1:7" x14ac:dyDescent="0.35">
      <c r="A229">
        <v>447.56</v>
      </c>
      <c r="B229">
        <v>727.43</v>
      </c>
      <c r="C229">
        <v>144.06</v>
      </c>
      <c r="D229">
        <v>317.25</v>
      </c>
      <c r="E229">
        <v>251.04</v>
      </c>
      <c r="F229">
        <v>981.17</v>
      </c>
      <c r="G229">
        <v>8313</v>
      </c>
    </row>
    <row r="230" spans="1:7" x14ac:dyDescent="0.35">
      <c r="A230">
        <v>909.36</v>
      </c>
      <c r="B230">
        <v>487.33</v>
      </c>
      <c r="C230">
        <v>344.62</v>
      </c>
      <c r="D230">
        <v>285.48</v>
      </c>
      <c r="E230">
        <v>91.26</v>
      </c>
      <c r="F230">
        <v>926.73</v>
      </c>
      <c r="G230">
        <v>8320</v>
      </c>
    </row>
    <row r="231" spans="1:7" x14ac:dyDescent="0.35">
      <c r="A231">
        <v>837.69</v>
      </c>
      <c r="B231">
        <v>633.04</v>
      </c>
      <c r="C231">
        <v>348.36</v>
      </c>
      <c r="D231">
        <v>48.06</v>
      </c>
      <c r="E231">
        <v>649.55999999999995</v>
      </c>
      <c r="F231">
        <v>834.14</v>
      </c>
      <c r="G231">
        <v>8332</v>
      </c>
    </row>
    <row r="232" spans="1:7" x14ac:dyDescent="0.35">
      <c r="A232">
        <v>257.56</v>
      </c>
      <c r="B232">
        <v>524.15</v>
      </c>
      <c r="C232">
        <v>414.8</v>
      </c>
      <c r="D232">
        <v>828.4</v>
      </c>
      <c r="E232">
        <v>544.84</v>
      </c>
      <c r="F232">
        <v>733.99</v>
      </c>
      <c r="G232">
        <v>8366</v>
      </c>
    </row>
    <row r="233" spans="1:7" x14ac:dyDescent="0.35">
      <c r="A233">
        <v>947.72</v>
      </c>
      <c r="B233">
        <v>653.82000000000005</v>
      </c>
      <c r="C233">
        <v>879.45</v>
      </c>
      <c r="D233">
        <v>979.08</v>
      </c>
      <c r="E233">
        <v>304.11</v>
      </c>
      <c r="F233">
        <v>92.45</v>
      </c>
      <c r="G233">
        <v>8366</v>
      </c>
    </row>
    <row r="234" spans="1:7" x14ac:dyDescent="0.35">
      <c r="A234">
        <v>204.63</v>
      </c>
      <c r="B234">
        <v>624.34</v>
      </c>
      <c r="C234">
        <v>566.30999999999995</v>
      </c>
      <c r="D234">
        <v>379.17</v>
      </c>
      <c r="E234">
        <v>952.84</v>
      </c>
      <c r="F234">
        <v>786.09</v>
      </c>
      <c r="G234">
        <v>8368</v>
      </c>
    </row>
    <row r="235" spans="1:7" x14ac:dyDescent="0.35">
      <c r="A235">
        <v>309.23</v>
      </c>
      <c r="B235">
        <v>254.62</v>
      </c>
      <c r="C235">
        <v>616.46</v>
      </c>
      <c r="D235">
        <v>888.42</v>
      </c>
      <c r="E235">
        <v>216.48</v>
      </c>
      <c r="F235">
        <v>901.14</v>
      </c>
      <c r="G235">
        <v>8380</v>
      </c>
    </row>
    <row r="236" spans="1:7" x14ac:dyDescent="0.35">
      <c r="A236">
        <v>751.82</v>
      </c>
      <c r="B236">
        <v>145.44</v>
      </c>
      <c r="C236">
        <v>471.13</v>
      </c>
      <c r="D236">
        <v>744.64</v>
      </c>
      <c r="E236">
        <v>534.30999999999995</v>
      </c>
      <c r="F236">
        <v>809.25</v>
      </c>
      <c r="G236">
        <v>8387</v>
      </c>
    </row>
    <row r="237" spans="1:7" x14ac:dyDescent="0.35">
      <c r="A237">
        <v>502.27</v>
      </c>
      <c r="B237">
        <v>606.1</v>
      </c>
      <c r="C237">
        <v>113.8</v>
      </c>
      <c r="D237">
        <v>589.36</v>
      </c>
      <c r="E237">
        <v>359.02</v>
      </c>
      <c r="F237">
        <v>878.2</v>
      </c>
      <c r="G237">
        <v>8391</v>
      </c>
    </row>
    <row r="238" spans="1:7" x14ac:dyDescent="0.35">
      <c r="A238">
        <v>952.76</v>
      </c>
      <c r="B238">
        <v>419.16</v>
      </c>
      <c r="C238">
        <v>154.41</v>
      </c>
      <c r="D238">
        <v>325.73</v>
      </c>
      <c r="E238">
        <v>696.88</v>
      </c>
      <c r="F238">
        <v>839.26</v>
      </c>
      <c r="G238">
        <v>8396</v>
      </c>
    </row>
    <row r="239" spans="1:7" x14ac:dyDescent="0.35">
      <c r="A239">
        <v>576.73</v>
      </c>
      <c r="B239">
        <v>756.33</v>
      </c>
      <c r="C239">
        <v>87.96</v>
      </c>
      <c r="D239">
        <v>369.57</v>
      </c>
      <c r="E239">
        <v>223.6</v>
      </c>
      <c r="F239">
        <v>914.72</v>
      </c>
      <c r="G239">
        <v>8421</v>
      </c>
    </row>
    <row r="240" spans="1:7" x14ac:dyDescent="0.35">
      <c r="A240">
        <v>747.35</v>
      </c>
      <c r="B240">
        <v>261.12</v>
      </c>
      <c r="C240">
        <v>37.92</v>
      </c>
      <c r="D240">
        <v>934.6</v>
      </c>
      <c r="E240">
        <v>770.3</v>
      </c>
      <c r="F240">
        <v>710.22</v>
      </c>
      <c r="G240">
        <v>8425</v>
      </c>
    </row>
    <row r="241" spans="1:7" x14ac:dyDescent="0.35">
      <c r="A241">
        <v>254.3</v>
      </c>
      <c r="B241">
        <v>526.4</v>
      </c>
      <c r="C241">
        <v>448.11</v>
      </c>
      <c r="D241">
        <v>694.84</v>
      </c>
      <c r="E241">
        <v>176.67</v>
      </c>
      <c r="F241">
        <v>928.28</v>
      </c>
      <c r="G241">
        <v>8428</v>
      </c>
    </row>
    <row r="242" spans="1:7" x14ac:dyDescent="0.35">
      <c r="A242">
        <v>808.06</v>
      </c>
      <c r="B242">
        <v>485.57</v>
      </c>
      <c r="C242">
        <v>974.78</v>
      </c>
      <c r="D242">
        <v>811.9</v>
      </c>
      <c r="E242">
        <v>103.54</v>
      </c>
      <c r="F242">
        <v>436</v>
      </c>
      <c r="G242">
        <v>8429</v>
      </c>
    </row>
    <row r="243" spans="1:7" x14ac:dyDescent="0.35">
      <c r="A243">
        <v>60.41</v>
      </c>
      <c r="B243">
        <v>884.67</v>
      </c>
      <c r="C243">
        <v>892.1</v>
      </c>
      <c r="D243">
        <v>576.07000000000005</v>
      </c>
      <c r="E243">
        <v>74.290000000000006</v>
      </c>
      <c r="F243">
        <v>704.23</v>
      </c>
      <c r="G243">
        <v>8472</v>
      </c>
    </row>
    <row r="244" spans="1:7" x14ac:dyDescent="0.35">
      <c r="A244">
        <v>746.29</v>
      </c>
      <c r="B244">
        <v>925.8</v>
      </c>
      <c r="C244">
        <v>988.98</v>
      </c>
      <c r="D244">
        <v>229.34</v>
      </c>
      <c r="E244">
        <v>282.95</v>
      </c>
      <c r="F244">
        <v>449.15</v>
      </c>
      <c r="G244">
        <v>8488</v>
      </c>
    </row>
    <row r="245" spans="1:7" x14ac:dyDescent="0.35">
      <c r="A245">
        <v>867.51</v>
      </c>
      <c r="B245">
        <v>932.27</v>
      </c>
      <c r="C245">
        <v>148.9</v>
      </c>
      <c r="D245">
        <v>373.02</v>
      </c>
      <c r="E245">
        <v>570.23</v>
      </c>
      <c r="F245">
        <v>531.79</v>
      </c>
      <c r="G245">
        <v>8504</v>
      </c>
    </row>
    <row r="246" spans="1:7" x14ac:dyDescent="0.35">
      <c r="A246">
        <v>862.97</v>
      </c>
      <c r="B246">
        <v>656.05</v>
      </c>
      <c r="C246">
        <v>337.34</v>
      </c>
      <c r="D246">
        <v>834.98</v>
      </c>
      <c r="E246">
        <v>827.64</v>
      </c>
      <c r="F246">
        <v>308.37</v>
      </c>
      <c r="G246">
        <v>8512</v>
      </c>
    </row>
    <row r="247" spans="1:7" x14ac:dyDescent="0.35">
      <c r="A247">
        <v>696.38</v>
      </c>
      <c r="B247">
        <v>590.16</v>
      </c>
      <c r="C247">
        <v>651.28</v>
      </c>
      <c r="D247">
        <v>202.29</v>
      </c>
      <c r="E247">
        <v>51.87</v>
      </c>
      <c r="F247">
        <v>956.28</v>
      </c>
      <c r="G247">
        <v>8533</v>
      </c>
    </row>
    <row r="248" spans="1:7" x14ac:dyDescent="0.35">
      <c r="A248">
        <v>800.14</v>
      </c>
      <c r="B248">
        <v>576.91999999999996</v>
      </c>
      <c r="C248">
        <v>984.33</v>
      </c>
      <c r="D248">
        <v>254.77</v>
      </c>
      <c r="E248">
        <v>285.79000000000002</v>
      </c>
      <c r="F248">
        <v>689.01</v>
      </c>
      <c r="G248">
        <v>8554</v>
      </c>
    </row>
    <row r="249" spans="1:7" x14ac:dyDescent="0.35">
      <c r="A249">
        <v>732.71</v>
      </c>
      <c r="B249">
        <v>585.45000000000005</v>
      </c>
      <c r="C249">
        <v>540.89</v>
      </c>
      <c r="D249">
        <v>695.95</v>
      </c>
      <c r="E249">
        <v>227.02</v>
      </c>
      <c r="F249">
        <v>633.09</v>
      </c>
      <c r="G249">
        <v>8564</v>
      </c>
    </row>
    <row r="250" spans="1:7" x14ac:dyDescent="0.35">
      <c r="A250">
        <v>781.27</v>
      </c>
      <c r="B250">
        <v>786.72</v>
      </c>
      <c r="C250">
        <v>132.53</v>
      </c>
      <c r="D250">
        <v>557.25</v>
      </c>
      <c r="E250">
        <v>486.25</v>
      </c>
      <c r="F250">
        <v>619.96</v>
      </c>
      <c r="G250">
        <v>8574</v>
      </c>
    </row>
    <row r="251" spans="1:7" x14ac:dyDescent="0.35">
      <c r="A251">
        <v>899.43</v>
      </c>
      <c r="B251">
        <v>712.96</v>
      </c>
      <c r="C251">
        <v>760.18</v>
      </c>
      <c r="D251">
        <v>762.53</v>
      </c>
      <c r="E251">
        <v>75.72</v>
      </c>
      <c r="F251">
        <v>378.28</v>
      </c>
      <c r="G251">
        <v>8576</v>
      </c>
    </row>
    <row r="252" spans="1:7" x14ac:dyDescent="0.35">
      <c r="A252">
        <v>838.61</v>
      </c>
      <c r="B252">
        <v>472.36</v>
      </c>
      <c r="C252">
        <v>451.52</v>
      </c>
      <c r="D252">
        <v>852.62</v>
      </c>
      <c r="E252">
        <v>34.9</v>
      </c>
      <c r="F252">
        <v>664.99</v>
      </c>
      <c r="G252">
        <v>8609</v>
      </c>
    </row>
    <row r="253" spans="1:7" x14ac:dyDescent="0.35">
      <c r="A253">
        <v>591.48</v>
      </c>
      <c r="B253">
        <v>542.51</v>
      </c>
      <c r="C253">
        <v>400.23</v>
      </c>
      <c r="D253">
        <v>329.15</v>
      </c>
      <c r="E253">
        <v>577.38</v>
      </c>
      <c r="F253">
        <v>931.65</v>
      </c>
      <c r="G253">
        <v>8652</v>
      </c>
    </row>
    <row r="254" spans="1:7" x14ac:dyDescent="0.35">
      <c r="A254">
        <v>875.12</v>
      </c>
      <c r="B254">
        <v>384.08</v>
      </c>
      <c r="C254">
        <v>808.14</v>
      </c>
      <c r="D254">
        <v>552.04999999999995</v>
      </c>
      <c r="E254">
        <v>616.29</v>
      </c>
      <c r="F254">
        <v>605.12</v>
      </c>
      <c r="G254">
        <v>8659</v>
      </c>
    </row>
    <row r="255" spans="1:7" x14ac:dyDescent="0.35">
      <c r="A255">
        <v>428.61</v>
      </c>
      <c r="B255">
        <v>610.14</v>
      </c>
      <c r="C255">
        <v>959.11</v>
      </c>
      <c r="D255">
        <v>583.57000000000005</v>
      </c>
      <c r="E255">
        <v>524.53</v>
      </c>
      <c r="F255">
        <v>617.94000000000005</v>
      </c>
      <c r="G255">
        <v>8683</v>
      </c>
    </row>
    <row r="256" spans="1:7" x14ac:dyDescent="0.35">
      <c r="A256">
        <v>846.02</v>
      </c>
      <c r="B256">
        <v>919.07</v>
      </c>
      <c r="C256">
        <v>403.48</v>
      </c>
      <c r="D256">
        <v>429.08</v>
      </c>
      <c r="E256">
        <v>24.8</v>
      </c>
      <c r="F256">
        <v>632.37</v>
      </c>
      <c r="G256">
        <v>8687</v>
      </c>
    </row>
    <row r="257" spans="1:7" x14ac:dyDescent="0.35">
      <c r="A257">
        <v>318.73</v>
      </c>
      <c r="B257">
        <v>858.87</v>
      </c>
      <c r="C257">
        <v>896.81</v>
      </c>
      <c r="D257">
        <v>485.14</v>
      </c>
      <c r="E257">
        <v>929.73</v>
      </c>
      <c r="F257">
        <v>459.97</v>
      </c>
      <c r="G257">
        <v>8724</v>
      </c>
    </row>
    <row r="258" spans="1:7" x14ac:dyDescent="0.35">
      <c r="A258">
        <v>754.81</v>
      </c>
      <c r="B258">
        <v>590.70000000000005</v>
      </c>
      <c r="C258">
        <v>655.69</v>
      </c>
      <c r="D258">
        <v>228.98</v>
      </c>
      <c r="E258">
        <v>495.76</v>
      </c>
      <c r="F258">
        <v>821.56</v>
      </c>
      <c r="G258">
        <v>8724</v>
      </c>
    </row>
    <row r="259" spans="1:7" x14ac:dyDescent="0.35">
      <c r="A259">
        <v>341.92</v>
      </c>
      <c r="B259">
        <v>886.64</v>
      </c>
      <c r="C259">
        <v>355.31</v>
      </c>
      <c r="D259">
        <v>663.6</v>
      </c>
      <c r="E259">
        <v>278.87</v>
      </c>
      <c r="F259">
        <v>718.15</v>
      </c>
      <c r="G259">
        <v>8737</v>
      </c>
    </row>
    <row r="260" spans="1:7" x14ac:dyDescent="0.35">
      <c r="A260">
        <v>922.68</v>
      </c>
      <c r="B260">
        <v>467.72</v>
      </c>
      <c r="C260">
        <v>871.4</v>
      </c>
      <c r="D260">
        <v>664.95</v>
      </c>
      <c r="E260">
        <v>827.6</v>
      </c>
      <c r="F260">
        <v>385.17</v>
      </c>
      <c r="G260">
        <v>8744</v>
      </c>
    </row>
    <row r="261" spans="1:7" x14ac:dyDescent="0.35">
      <c r="A261">
        <v>592.24</v>
      </c>
      <c r="B261">
        <v>73.400000000000006</v>
      </c>
      <c r="C261">
        <v>847.47</v>
      </c>
      <c r="D261">
        <v>595.24</v>
      </c>
      <c r="E261">
        <v>721.16</v>
      </c>
      <c r="F261">
        <v>931.95</v>
      </c>
      <c r="G261">
        <v>8744</v>
      </c>
    </row>
    <row r="262" spans="1:7" x14ac:dyDescent="0.35">
      <c r="A262">
        <v>723.93</v>
      </c>
      <c r="B262">
        <v>437.97</v>
      </c>
      <c r="C262">
        <v>54.43</v>
      </c>
      <c r="D262">
        <v>877.91</v>
      </c>
      <c r="E262">
        <v>454.95</v>
      </c>
      <c r="F262">
        <v>791.16</v>
      </c>
      <c r="G262">
        <v>8753</v>
      </c>
    </row>
    <row r="263" spans="1:7" x14ac:dyDescent="0.35">
      <c r="A263">
        <v>835.52</v>
      </c>
      <c r="B263">
        <v>315.69</v>
      </c>
      <c r="C263">
        <v>142.37</v>
      </c>
      <c r="D263">
        <v>764.15</v>
      </c>
      <c r="E263">
        <v>563.82000000000005</v>
      </c>
      <c r="F263">
        <v>833.02</v>
      </c>
      <c r="G263">
        <v>8760</v>
      </c>
    </row>
    <row r="264" spans="1:7" x14ac:dyDescent="0.35">
      <c r="A264">
        <v>649.53</v>
      </c>
      <c r="B264">
        <v>795.64</v>
      </c>
      <c r="C264">
        <v>533.72</v>
      </c>
      <c r="D264">
        <v>510.37</v>
      </c>
      <c r="E264">
        <v>485.43</v>
      </c>
      <c r="F264">
        <v>608.69000000000005</v>
      </c>
      <c r="G264">
        <v>8775</v>
      </c>
    </row>
    <row r="265" spans="1:7" x14ac:dyDescent="0.35">
      <c r="A265">
        <v>383.91</v>
      </c>
      <c r="B265">
        <v>864.55</v>
      </c>
      <c r="C265">
        <v>673.49</v>
      </c>
      <c r="D265">
        <v>809.05</v>
      </c>
      <c r="E265">
        <v>927.93</v>
      </c>
      <c r="F265">
        <v>318.49</v>
      </c>
      <c r="G265">
        <v>8776</v>
      </c>
    </row>
    <row r="266" spans="1:7" x14ac:dyDescent="0.35">
      <c r="A266">
        <v>532.28</v>
      </c>
      <c r="B266">
        <v>795.59</v>
      </c>
      <c r="C266">
        <v>192.91</v>
      </c>
      <c r="D266">
        <v>298.49</v>
      </c>
      <c r="E266">
        <v>836</v>
      </c>
      <c r="F266">
        <v>825.6</v>
      </c>
      <c r="G266">
        <v>8792</v>
      </c>
    </row>
    <row r="267" spans="1:7" x14ac:dyDescent="0.35">
      <c r="A267">
        <v>410.44</v>
      </c>
      <c r="B267">
        <v>608.41</v>
      </c>
      <c r="C267">
        <v>719.84</v>
      </c>
      <c r="D267">
        <v>907.29</v>
      </c>
      <c r="E267">
        <v>84.35</v>
      </c>
      <c r="F267">
        <v>681.15</v>
      </c>
      <c r="G267">
        <v>8806</v>
      </c>
    </row>
    <row r="268" spans="1:7" x14ac:dyDescent="0.35">
      <c r="A268">
        <v>374.53</v>
      </c>
      <c r="B268">
        <v>344.97</v>
      </c>
      <c r="C268">
        <v>553.29999999999995</v>
      </c>
      <c r="D268">
        <v>589.08000000000004</v>
      </c>
      <c r="E268">
        <v>649.84</v>
      </c>
      <c r="F268">
        <v>984.5</v>
      </c>
      <c r="G268">
        <v>8816</v>
      </c>
    </row>
    <row r="269" spans="1:7" x14ac:dyDescent="0.35">
      <c r="A269">
        <v>402.63</v>
      </c>
      <c r="B269">
        <v>638.9</v>
      </c>
      <c r="C269">
        <v>236.86</v>
      </c>
      <c r="D269">
        <v>917.84</v>
      </c>
      <c r="E269">
        <v>105.81</v>
      </c>
      <c r="F269">
        <v>859.22</v>
      </c>
      <c r="G269">
        <v>8925</v>
      </c>
    </row>
    <row r="270" spans="1:7" x14ac:dyDescent="0.35">
      <c r="A270">
        <v>748.8</v>
      </c>
      <c r="B270">
        <v>526.25</v>
      </c>
      <c r="C270">
        <v>144.97999999999999</v>
      </c>
      <c r="D270">
        <v>624.03</v>
      </c>
      <c r="E270">
        <v>117.05</v>
      </c>
      <c r="F270">
        <v>987.58</v>
      </c>
      <c r="G270">
        <v>8943</v>
      </c>
    </row>
    <row r="271" spans="1:7" x14ac:dyDescent="0.35">
      <c r="A271">
        <v>189.51</v>
      </c>
      <c r="B271">
        <v>659.44</v>
      </c>
      <c r="C271">
        <v>775.37</v>
      </c>
      <c r="D271">
        <v>895.59</v>
      </c>
      <c r="E271">
        <v>760.58</v>
      </c>
      <c r="F271">
        <v>581.76</v>
      </c>
      <c r="G271">
        <v>9001</v>
      </c>
    </row>
    <row r="272" spans="1:7" x14ac:dyDescent="0.35">
      <c r="A272">
        <v>642.75</v>
      </c>
      <c r="B272">
        <v>878.1</v>
      </c>
      <c r="C272">
        <v>999.23</v>
      </c>
      <c r="D272">
        <v>662.46</v>
      </c>
      <c r="E272">
        <v>117.02</v>
      </c>
      <c r="F272">
        <v>454.2</v>
      </c>
      <c r="G272">
        <v>9006</v>
      </c>
    </row>
    <row r="273" spans="1:7" x14ac:dyDescent="0.35">
      <c r="A273">
        <v>795.28</v>
      </c>
      <c r="B273">
        <v>970.21</v>
      </c>
      <c r="C273">
        <v>968.39</v>
      </c>
      <c r="D273">
        <v>857.64</v>
      </c>
      <c r="E273">
        <v>255.73</v>
      </c>
      <c r="F273">
        <v>149.38999999999999</v>
      </c>
      <c r="G273">
        <v>9011</v>
      </c>
    </row>
    <row r="274" spans="1:7" x14ac:dyDescent="0.35">
      <c r="A274">
        <v>627.1</v>
      </c>
      <c r="B274">
        <v>520.53</v>
      </c>
      <c r="C274">
        <v>461.58</v>
      </c>
      <c r="D274">
        <v>646.87</v>
      </c>
      <c r="E274">
        <v>999.79</v>
      </c>
      <c r="F274">
        <v>681.44</v>
      </c>
      <c r="G274">
        <v>9037</v>
      </c>
    </row>
    <row r="275" spans="1:7" x14ac:dyDescent="0.35">
      <c r="A275">
        <v>626.96</v>
      </c>
      <c r="B275">
        <v>160.57</v>
      </c>
      <c r="C275">
        <v>823.18</v>
      </c>
      <c r="D275">
        <v>650.20000000000005</v>
      </c>
      <c r="E275">
        <v>662.36</v>
      </c>
      <c r="F275">
        <v>933.53</v>
      </c>
      <c r="G275">
        <v>9144</v>
      </c>
    </row>
    <row r="276" spans="1:7" x14ac:dyDescent="0.35">
      <c r="A276">
        <v>858.89</v>
      </c>
      <c r="B276">
        <v>724.24</v>
      </c>
      <c r="C276">
        <v>890.81</v>
      </c>
      <c r="D276">
        <v>472.84</v>
      </c>
      <c r="E276">
        <v>74.94</v>
      </c>
      <c r="F276">
        <v>662.99</v>
      </c>
      <c r="G276">
        <v>9156</v>
      </c>
    </row>
    <row r="277" spans="1:7" x14ac:dyDescent="0.35">
      <c r="A277">
        <v>40.81</v>
      </c>
      <c r="B277">
        <v>863.64</v>
      </c>
      <c r="C277">
        <v>580.23</v>
      </c>
      <c r="D277">
        <v>852.48</v>
      </c>
      <c r="E277">
        <v>548.47</v>
      </c>
      <c r="F277">
        <v>725.71</v>
      </c>
      <c r="G277">
        <v>9244</v>
      </c>
    </row>
    <row r="278" spans="1:7" x14ac:dyDescent="0.35">
      <c r="A278">
        <v>775.64</v>
      </c>
      <c r="B278">
        <v>605.6</v>
      </c>
      <c r="C278">
        <v>605.67999999999995</v>
      </c>
      <c r="D278">
        <v>189.84</v>
      </c>
      <c r="E278">
        <v>732.13</v>
      </c>
      <c r="F278">
        <v>923.42</v>
      </c>
      <c r="G278">
        <v>9318</v>
      </c>
    </row>
    <row r="279" spans="1:7" x14ac:dyDescent="0.35">
      <c r="A279">
        <v>858.69</v>
      </c>
      <c r="B279">
        <v>922.49</v>
      </c>
      <c r="C279">
        <v>694.91</v>
      </c>
      <c r="D279">
        <v>121.48</v>
      </c>
      <c r="E279">
        <v>368.16</v>
      </c>
      <c r="F279">
        <v>788.05</v>
      </c>
      <c r="G279">
        <v>9431</v>
      </c>
    </row>
    <row r="280" spans="1:7" x14ac:dyDescent="0.35">
      <c r="A280">
        <v>994.4</v>
      </c>
      <c r="B280">
        <v>785.92</v>
      </c>
      <c r="C280">
        <v>159.25</v>
      </c>
      <c r="D280">
        <v>381.83</v>
      </c>
      <c r="E280">
        <v>296.66000000000003</v>
      </c>
      <c r="F280">
        <v>892.39</v>
      </c>
      <c r="G280">
        <v>9473</v>
      </c>
    </row>
    <row r="281" spans="1:7" x14ac:dyDescent="0.35">
      <c r="A281">
        <v>966.54</v>
      </c>
      <c r="B281">
        <v>617.79999999999995</v>
      </c>
      <c r="C281">
        <v>850.09</v>
      </c>
      <c r="D281">
        <v>731.43</v>
      </c>
      <c r="E281">
        <v>999.83</v>
      </c>
      <c r="F281">
        <v>354.16</v>
      </c>
      <c r="G281">
        <v>9498</v>
      </c>
    </row>
    <row r="282" spans="1:7" x14ac:dyDescent="0.35">
      <c r="A282">
        <v>649.55999999999995</v>
      </c>
      <c r="B282">
        <v>473.91</v>
      </c>
      <c r="C282">
        <v>390.02</v>
      </c>
      <c r="D282">
        <v>660.73</v>
      </c>
      <c r="E282">
        <v>565.49</v>
      </c>
      <c r="F282">
        <v>978.82</v>
      </c>
      <c r="G282">
        <v>9540</v>
      </c>
    </row>
    <row r="283" spans="1:7" x14ac:dyDescent="0.35">
      <c r="A283">
        <v>992.99</v>
      </c>
      <c r="B283">
        <v>831.97</v>
      </c>
      <c r="C283">
        <v>982.63</v>
      </c>
      <c r="D283">
        <v>361.36</v>
      </c>
      <c r="E283">
        <v>331.65</v>
      </c>
      <c r="F283">
        <v>574.97</v>
      </c>
      <c r="G283">
        <v>9553</v>
      </c>
    </row>
    <row r="284" spans="1:7" x14ac:dyDescent="0.35">
      <c r="A284">
        <v>211.37</v>
      </c>
      <c r="B284">
        <v>925.49</v>
      </c>
      <c r="C284">
        <v>614.64</v>
      </c>
      <c r="D284">
        <v>918.84</v>
      </c>
      <c r="E284">
        <v>695.52</v>
      </c>
      <c r="F284">
        <v>599.91</v>
      </c>
      <c r="G284">
        <v>9658</v>
      </c>
    </row>
    <row r="285" spans="1:7" x14ac:dyDescent="0.35">
      <c r="A285">
        <v>766.52</v>
      </c>
      <c r="B285">
        <v>550.72</v>
      </c>
      <c r="C285">
        <v>651.91</v>
      </c>
      <c r="D285">
        <v>666.33</v>
      </c>
      <c r="E285">
        <v>396.33</v>
      </c>
      <c r="F285">
        <v>841.93</v>
      </c>
      <c r="G285">
        <v>9669</v>
      </c>
    </row>
    <row r="286" spans="1:7" x14ac:dyDescent="0.35">
      <c r="A286">
        <v>638.6</v>
      </c>
      <c r="B286">
        <v>778.31</v>
      </c>
      <c r="C286">
        <v>796.32</v>
      </c>
      <c r="D286">
        <v>759.04</v>
      </c>
      <c r="E286">
        <v>857.13</v>
      </c>
      <c r="F286">
        <v>515.16</v>
      </c>
      <c r="G286">
        <v>9801</v>
      </c>
    </row>
    <row r="287" spans="1:7" x14ac:dyDescent="0.35">
      <c r="A287">
        <v>930.75</v>
      </c>
      <c r="B287">
        <v>560.91</v>
      </c>
      <c r="C287">
        <v>727.85</v>
      </c>
      <c r="D287">
        <v>166.23</v>
      </c>
      <c r="E287">
        <v>961.25</v>
      </c>
      <c r="F287">
        <v>919.77</v>
      </c>
      <c r="G287">
        <v>9874</v>
      </c>
    </row>
    <row r="288" spans="1:7" x14ac:dyDescent="0.35">
      <c r="A288">
        <v>639.02</v>
      </c>
      <c r="B288">
        <v>873.2</v>
      </c>
      <c r="C288">
        <v>972.38</v>
      </c>
      <c r="D288">
        <v>961.58</v>
      </c>
      <c r="E288">
        <v>761.14</v>
      </c>
      <c r="F288">
        <v>307.13</v>
      </c>
      <c r="G288">
        <v>9889</v>
      </c>
    </row>
    <row r="289" spans="1:7" x14ac:dyDescent="0.35">
      <c r="A289">
        <v>560.02</v>
      </c>
      <c r="B289">
        <v>772.26</v>
      </c>
      <c r="C289">
        <v>349.56</v>
      </c>
      <c r="D289">
        <v>996.16</v>
      </c>
      <c r="E289">
        <v>360.7</v>
      </c>
      <c r="F289">
        <v>757.59</v>
      </c>
      <c r="G289">
        <v>9901</v>
      </c>
    </row>
    <row r="290" spans="1:7" x14ac:dyDescent="0.35">
      <c r="A290">
        <v>983.4</v>
      </c>
      <c r="B290">
        <v>583.08000000000004</v>
      </c>
      <c r="C290">
        <v>544.15</v>
      </c>
      <c r="D290">
        <v>443.14</v>
      </c>
      <c r="E290">
        <v>791</v>
      </c>
      <c r="F290">
        <v>864.11</v>
      </c>
      <c r="G290">
        <v>10049</v>
      </c>
    </row>
    <row r="291" spans="1:7" x14ac:dyDescent="0.35">
      <c r="A291">
        <v>961.72</v>
      </c>
      <c r="B291">
        <v>801.42</v>
      </c>
      <c r="C291">
        <v>247.44</v>
      </c>
      <c r="D291">
        <v>562.54</v>
      </c>
      <c r="E291">
        <v>772.64</v>
      </c>
      <c r="F291">
        <v>762.27</v>
      </c>
      <c r="G291">
        <v>10094</v>
      </c>
    </row>
    <row r="292" spans="1:7" x14ac:dyDescent="0.35">
      <c r="A292">
        <v>480.33</v>
      </c>
      <c r="B292">
        <v>386.61</v>
      </c>
      <c r="C292">
        <v>926.8</v>
      </c>
      <c r="D292">
        <v>901.98</v>
      </c>
      <c r="E292">
        <v>559.91</v>
      </c>
      <c r="F292">
        <v>949.15</v>
      </c>
      <c r="G292">
        <v>10223</v>
      </c>
    </row>
    <row r="293" spans="1:7" x14ac:dyDescent="0.35">
      <c r="A293">
        <v>958.24</v>
      </c>
      <c r="B293">
        <v>771.17</v>
      </c>
      <c r="C293">
        <v>69.459999999999994</v>
      </c>
      <c r="D293">
        <v>868.58</v>
      </c>
      <c r="E293">
        <v>649.5</v>
      </c>
      <c r="F293">
        <v>773.38</v>
      </c>
      <c r="G293">
        <v>10387</v>
      </c>
    </row>
    <row r="294" spans="1:7" x14ac:dyDescent="0.35">
      <c r="A294">
        <v>946.68</v>
      </c>
      <c r="B294">
        <v>429.45</v>
      </c>
      <c r="C294">
        <v>603.51</v>
      </c>
      <c r="D294">
        <v>910.23</v>
      </c>
      <c r="E294">
        <v>479.18</v>
      </c>
      <c r="F294">
        <v>902.26</v>
      </c>
      <c r="G294">
        <v>10543</v>
      </c>
    </row>
    <row r="295" spans="1:7" x14ac:dyDescent="0.35">
      <c r="A295">
        <v>867.03</v>
      </c>
      <c r="B295">
        <v>842.62</v>
      </c>
      <c r="C295">
        <v>524.35</v>
      </c>
      <c r="D295">
        <v>861.16</v>
      </c>
      <c r="E295">
        <v>57.55</v>
      </c>
      <c r="F295">
        <v>833.93</v>
      </c>
      <c r="G295">
        <v>10585</v>
      </c>
    </row>
    <row r="296" spans="1:7" x14ac:dyDescent="0.35">
      <c r="A296">
        <v>640.69000000000005</v>
      </c>
      <c r="B296">
        <v>966.63</v>
      </c>
      <c r="C296">
        <v>624.12</v>
      </c>
      <c r="D296">
        <v>948.97</v>
      </c>
      <c r="E296">
        <v>480.16</v>
      </c>
      <c r="F296">
        <v>651.30999999999995</v>
      </c>
      <c r="G296">
        <v>10655</v>
      </c>
    </row>
    <row r="297" spans="1:7" x14ac:dyDescent="0.35">
      <c r="A297">
        <v>788.17</v>
      </c>
      <c r="B297">
        <v>825.42</v>
      </c>
      <c r="C297">
        <v>912.89</v>
      </c>
      <c r="D297">
        <v>235.03</v>
      </c>
      <c r="E297">
        <v>938.7</v>
      </c>
      <c r="F297">
        <v>907.57</v>
      </c>
      <c r="G297">
        <v>10763</v>
      </c>
    </row>
    <row r="298" spans="1:7" x14ac:dyDescent="0.35">
      <c r="A298">
        <v>610.15</v>
      </c>
      <c r="B298">
        <v>995.32</v>
      </c>
      <c r="C298">
        <v>757.92</v>
      </c>
      <c r="D298">
        <v>622.36</v>
      </c>
      <c r="E298">
        <v>241.99</v>
      </c>
      <c r="F298">
        <v>910.61</v>
      </c>
      <c r="G298">
        <v>10841</v>
      </c>
    </row>
    <row r="299" spans="1:7" x14ac:dyDescent="0.35">
      <c r="A299">
        <v>945.34</v>
      </c>
      <c r="B299">
        <v>825.89</v>
      </c>
      <c r="C299">
        <v>772.2</v>
      </c>
      <c r="D299">
        <v>677.43</v>
      </c>
      <c r="E299">
        <v>401.26</v>
      </c>
      <c r="F299">
        <v>837.18</v>
      </c>
      <c r="G299">
        <v>11062</v>
      </c>
    </row>
    <row r="300" spans="1:7" x14ac:dyDescent="0.35">
      <c r="A300">
        <v>667.17</v>
      </c>
      <c r="B300">
        <v>577.85</v>
      </c>
      <c r="C300">
        <v>898.19</v>
      </c>
      <c r="D300">
        <v>970.28</v>
      </c>
      <c r="E300">
        <v>789.52</v>
      </c>
      <c r="F300">
        <v>852.99</v>
      </c>
      <c r="G300">
        <v>11210</v>
      </c>
    </row>
    <row r="301" spans="1:7" x14ac:dyDescent="0.35">
      <c r="A301">
        <v>787.33</v>
      </c>
      <c r="B301">
        <v>947.73</v>
      </c>
      <c r="C301">
        <v>884.15</v>
      </c>
      <c r="D301">
        <v>992.3</v>
      </c>
      <c r="E301">
        <v>871.55</v>
      </c>
      <c r="F301">
        <v>742.36</v>
      </c>
      <c r="G301">
        <v>12227</v>
      </c>
    </row>
  </sheetData>
  <autoFilter ref="A1:H1" xr:uid="{6BFBC761-939E-4C35-B3F5-A5F913F5F7C9}">
    <sortState xmlns:xlrd2="http://schemas.microsoft.com/office/spreadsheetml/2017/richdata2" ref="A2:H301">
      <sortCondition ref="G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21A4-F23B-4771-AA70-11CA29E6209B}">
  <dimension ref="A3:F8"/>
  <sheetViews>
    <sheetView workbookViewId="0">
      <selection activeCell="E6" sqref="E6"/>
    </sheetView>
  </sheetViews>
  <sheetFormatPr defaultRowHeight="14.5" x14ac:dyDescent="0.35"/>
  <cols>
    <col min="1" max="1" width="12.36328125" bestFit="1" customWidth="1"/>
    <col min="2" max="2" width="26.1796875" bestFit="1" customWidth="1"/>
    <col min="3" max="3" width="17.36328125" bestFit="1" customWidth="1"/>
    <col min="4" max="4" width="21.54296875" bestFit="1" customWidth="1"/>
    <col min="5" max="5" width="22.26953125" bestFit="1" customWidth="1"/>
    <col min="6" max="6" width="19.08984375" bestFit="1" customWidth="1"/>
  </cols>
  <sheetData>
    <row r="3" spans="1:6" x14ac:dyDescent="0.35">
      <c r="A3" s="1" t="s">
        <v>7</v>
      </c>
      <c r="B3" t="s">
        <v>19</v>
      </c>
      <c r="C3" t="s">
        <v>22</v>
      </c>
      <c r="D3" t="s">
        <v>25</v>
      </c>
      <c r="E3" t="s">
        <v>28</v>
      </c>
      <c r="F3" t="s">
        <v>27</v>
      </c>
    </row>
    <row r="4" spans="1:6" x14ac:dyDescent="0.35">
      <c r="A4" s="2" t="s">
        <v>15</v>
      </c>
      <c r="B4">
        <v>35</v>
      </c>
      <c r="C4">
        <v>64834.999999999985</v>
      </c>
      <c r="D4">
        <v>1852.4285714285711</v>
      </c>
      <c r="E4" s="3">
        <v>0.45331471968694448</v>
      </c>
      <c r="F4" s="3">
        <v>15.866015189043056</v>
      </c>
    </row>
    <row r="5" spans="1:6" x14ac:dyDescent="0.35">
      <c r="A5" s="2" t="s">
        <v>16</v>
      </c>
      <c r="B5">
        <v>109</v>
      </c>
      <c r="C5">
        <v>292034.67999999993</v>
      </c>
      <c r="D5">
        <v>2679.2172477064214</v>
      </c>
      <c r="E5" s="3">
        <v>0.44109596614586133</v>
      </c>
      <c r="F5" s="3">
        <v>48.079460309898884</v>
      </c>
    </row>
    <row r="6" spans="1:6" x14ac:dyDescent="0.35">
      <c r="A6" s="2" t="s">
        <v>17</v>
      </c>
      <c r="B6">
        <v>125</v>
      </c>
      <c r="C6">
        <v>407631.76</v>
      </c>
      <c r="D6">
        <v>3261.0540799999999</v>
      </c>
      <c r="E6" s="3">
        <v>0.41068173284153014</v>
      </c>
      <c r="F6" s="3">
        <v>51.33521660519127</v>
      </c>
    </row>
    <row r="7" spans="1:6" x14ac:dyDescent="0.35">
      <c r="A7" s="2" t="s">
        <v>18</v>
      </c>
      <c r="B7">
        <v>31</v>
      </c>
      <c r="C7">
        <v>127243.56999999999</v>
      </c>
      <c r="D7">
        <v>4104.6312903225808</v>
      </c>
      <c r="E7" s="3">
        <v>0.41357131310246703</v>
      </c>
      <c r="F7" s="3">
        <v>12.820710706176477</v>
      </c>
    </row>
    <row r="8" spans="1:6" x14ac:dyDescent="0.35">
      <c r="A8" s="2" t="s">
        <v>8</v>
      </c>
      <c r="B8">
        <v>300</v>
      </c>
      <c r="C8">
        <v>891745.01000000036</v>
      </c>
      <c r="D8">
        <v>2972.4833666666677</v>
      </c>
      <c r="E8" s="3">
        <v>0.4270046760343657</v>
      </c>
      <c r="F8" s="3">
        <v>128.10140281030971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CE22-282F-4097-8296-674FF200C347}">
  <dimension ref="A3:E8"/>
  <sheetViews>
    <sheetView workbookViewId="0">
      <selection activeCell="E16" sqref="E16"/>
    </sheetView>
  </sheetViews>
  <sheetFormatPr defaultRowHeight="14.5" x14ac:dyDescent="0.35"/>
  <cols>
    <col min="1" max="1" width="12.36328125" bestFit="1" customWidth="1"/>
    <col min="2" max="2" width="22.26953125" bestFit="1" customWidth="1"/>
    <col min="3" max="3" width="18.453125" bestFit="1" customWidth="1"/>
    <col min="4" max="4" width="26.453125" bestFit="1" customWidth="1"/>
    <col min="5" max="5" width="22.6328125" bestFit="1" customWidth="1"/>
  </cols>
  <sheetData>
    <row r="3" spans="1:5" x14ac:dyDescent="0.35">
      <c r="A3" s="1" t="s">
        <v>7</v>
      </c>
      <c r="B3" t="s">
        <v>20</v>
      </c>
      <c r="C3" t="s">
        <v>21</v>
      </c>
      <c r="D3" t="s">
        <v>23</v>
      </c>
      <c r="E3" t="s">
        <v>24</v>
      </c>
    </row>
    <row r="4" spans="1:5" x14ac:dyDescent="0.35">
      <c r="A4" s="2" t="s">
        <v>15</v>
      </c>
      <c r="B4">
        <v>20368.099999999999</v>
      </c>
      <c r="C4">
        <v>22980.200000000004</v>
      </c>
      <c r="D4">
        <v>581.94571428571419</v>
      </c>
      <c r="E4">
        <v>656.57714285714303</v>
      </c>
    </row>
    <row r="5" spans="1:5" x14ac:dyDescent="0.35">
      <c r="A5" s="2" t="s">
        <v>16</v>
      </c>
      <c r="B5">
        <v>98404.169999999984</v>
      </c>
      <c r="C5">
        <v>105823.24000000002</v>
      </c>
      <c r="D5">
        <v>902.79055045871542</v>
      </c>
      <c r="E5">
        <v>970.85541284403689</v>
      </c>
    </row>
    <row r="6" spans="1:5" x14ac:dyDescent="0.35">
      <c r="A6" s="2" t="s">
        <v>17</v>
      </c>
      <c r="B6">
        <v>142420.35999999999</v>
      </c>
      <c r="C6">
        <v>129863.68999999996</v>
      </c>
      <c r="D6">
        <v>1139.3628799999999</v>
      </c>
      <c r="E6">
        <v>1038.9095199999997</v>
      </c>
    </row>
    <row r="7" spans="1:5" x14ac:dyDescent="0.35">
      <c r="A7" s="2" t="s">
        <v>18</v>
      </c>
      <c r="B7">
        <v>44830.150000000009</v>
      </c>
      <c r="C7">
        <v>42006.14</v>
      </c>
      <c r="D7">
        <v>1446.1338709677423</v>
      </c>
      <c r="E7">
        <v>1355.0367741935484</v>
      </c>
    </row>
    <row r="8" spans="1:5" x14ac:dyDescent="0.35">
      <c r="A8" s="2" t="s">
        <v>8</v>
      </c>
      <c r="B8">
        <v>306022.77999999997</v>
      </c>
      <c r="C8">
        <v>300673.27000000025</v>
      </c>
      <c r="D8">
        <v>1020.0759333333332</v>
      </c>
      <c r="E8">
        <v>1002.2442333333341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9E53-FF96-4BAA-8CB5-D41CC41BD9E2}">
  <dimension ref="A4:E9"/>
  <sheetViews>
    <sheetView workbookViewId="0">
      <selection activeCell="B11" sqref="B11"/>
    </sheetView>
  </sheetViews>
  <sheetFormatPr defaultRowHeight="14.5" x14ac:dyDescent="0.35"/>
  <cols>
    <col min="1" max="1" width="12.36328125" bestFit="1" customWidth="1"/>
    <col min="2" max="2" width="26.453125" bestFit="1" customWidth="1"/>
    <col min="3" max="3" width="25.453125" bestFit="1" customWidth="1"/>
    <col min="4" max="4" width="22.26953125" bestFit="1" customWidth="1"/>
    <col min="5" max="5" width="23.26953125" bestFit="1" customWidth="1"/>
  </cols>
  <sheetData>
    <row r="4" spans="1:5" x14ac:dyDescent="0.35">
      <c r="A4" s="1" t="s">
        <v>7</v>
      </c>
      <c r="B4" t="s">
        <v>33</v>
      </c>
      <c r="C4" t="s">
        <v>34</v>
      </c>
      <c r="D4" t="s">
        <v>20</v>
      </c>
      <c r="E4" t="s">
        <v>32</v>
      </c>
    </row>
    <row r="5" spans="1:5" x14ac:dyDescent="0.35">
      <c r="A5" s="2" t="s">
        <v>15</v>
      </c>
      <c r="B5">
        <v>232.49628571428565</v>
      </c>
      <c r="C5">
        <v>581.94571428571419</v>
      </c>
      <c r="D5">
        <v>20368.099999999999</v>
      </c>
      <c r="E5">
        <v>8137.3699999999981</v>
      </c>
    </row>
    <row r="6" spans="1:5" x14ac:dyDescent="0.35">
      <c r="A6" s="2" t="s">
        <v>16</v>
      </c>
      <c r="B6">
        <v>359.06385321100908</v>
      </c>
      <c r="C6">
        <v>902.79055045871542</v>
      </c>
      <c r="D6">
        <v>98404.169999999984</v>
      </c>
      <c r="E6">
        <v>39137.959999999992</v>
      </c>
    </row>
    <row r="7" spans="1:5" x14ac:dyDescent="0.35">
      <c r="A7" s="2" t="s">
        <v>17</v>
      </c>
      <c r="B7">
        <v>603.39536000000021</v>
      </c>
      <c r="C7">
        <v>1139.3628799999999</v>
      </c>
      <c r="D7">
        <v>142420.35999999999</v>
      </c>
      <c r="E7">
        <v>75424.420000000027</v>
      </c>
    </row>
    <row r="8" spans="1:5" x14ac:dyDescent="0.35">
      <c r="A8" s="2" t="s">
        <v>18</v>
      </c>
      <c r="B8">
        <v>729.9819354838711</v>
      </c>
      <c r="C8">
        <v>1446.1338709677423</v>
      </c>
      <c r="D8">
        <v>44830.150000000009</v>
      </c>
      <c r="E8">
        <v>22629.440000000002</v>
      </c>
    </row>
    <row r="9" spans="1:5" x14ac:dyDescent="0.35">
      <c r="A9" s="2" t="s">
        <v>8</v>
      </c>
      <c r="B9">
        <v>484.43063333333316</v>
      </c>
      <c r="C9">
        <v>1020.0759333333332</v>
      </c>
      <c r="D9">
        <v>306022.77999999997</v>
      </c>
      <c r="E9">
        <v>145329.18999999994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8A67-1E8B-4F13-AB68-C2C2063DFE54}">
  <dimension ref="A3:N8"/>
  <sheetViews>
    <sheetView topLeftCell="J1" workbookViewId="0">
      <selection activeCell="J3" sqref="J3"/>
    </sheetView>
  </sheetViews>
  <sheetFormatPr defaultRowHeight="14.5" x14ac:dyDescent="0.35"/>
  <cols>
    <col min="1" max="1" width="12.36328125" bestFit="1" customWidth="1"/>
    <col min="2" max="2" width="18.453125" bestFit="1" customWidth="1"/>
    <col min="3" max="3" width="17.453125" bestFit="1" customWidth="1"/>
    <col min="4" max="4" width="21.6328125" bestFit="1" customWidth="1"/>
    <col min="5" max="5" width="20.54296875" bestFit="1" customWidth="1"/>
    <col min="10" max="10" width="12.36328125" bestFit="1" customWidth="1"/>
    <col min="11" max="11" width="21.6328125" bestFit="1" customWidth="1"/>
    <col min="12" max="12" width="20.54296875" bestFit="1" customWidth="1"/>
    <col min="13" max="13" width="18.453125" bestFit="1" customWidth="1"/>
    <col min="14" max="14" width="17.453125" bestFit="1" customWidth="1"/>
  </cols>
  <sheetData>
    <row r="3" spans="1:14" x14ac:dyDescent="0.35">
      <c r="A3" s="1" t="s">
        <v>7</v>
      </c>
      <c r="B3" t="s">
        <v>21</v>
      </c>
      <c r="C3" t="s">
        <v>29</v>
      </c>
      <c r="D3" t="s">
        <v>30</v>
      </c>
      <c r="E3" t="s">
        <v>31</v>
      </c>
      <c r="J3" s="1" t="s">
        <v>7</v>
      </c>
      <c r="K3" t="s">
        <v>30</v>
      </c>
      <c r="L3" t="s">
        <v>31</v>
      </c>
      <c r="M3" t="s">
        <v>21</v>
      </c>
      <c r="N3" t="s">
        <v>29</v>
      </c>
    </row>
    <row r="4" spans="1:14" x14ac:dyDescent="0.35">
      <c r="A4" s="2" t="s">
        <v>15</v>
      </c>
      <c r="B4">
        <v>22980.200000000004</v>
      </c>
      <c r="C4">
        <v>13349.33</v>
      </c>
      <c r="D4">
        <v>656.57714285714303</v>
      </c>
      <c r="E4">
        <v>381.40942857142858</v>
      </c>
      <c r="J4" s="2" t="s">
        <v>15</v>
      </c>
      <c r="K4">
        <v>656.57714285714303</v>
      </c>
      <c r="L4">
        <v>381.40942857142858</v>
      </c>
      <c r="M4">
        <v>22980.200000000004</v>
      </c>
      <c r="N4">
        <v>13349.33</v>
      </c>
    </row>
    <row r="5" spans="1:14" x14ac:dyDescent="0.35">
      <c r="A5" s="2" t="s">
        <v>16</v>
      </c>
      <c r="B5">
        <v>105823.24000000002</v>
      </c>
      <c r="C5">
        <v>48669.30999999999</v>
      </c>
      <c r="D5">
        <v>970.85541284403689</v>
      </c>
      <c r="E5">
        <v>446.50743119266048</v>
      </c>
      <c r="J5" s="2" t="s">
        <v>16</v>
      </c>
      <c r="K5">
        <v>970.85541284403689</v>
      </c>
      <c r="L5">
        <v>446.50743119266048</v>
      </c>
      <c r="M5">
        <v>105823.24000000002</v>
      </c>
      <c r="N5">
        <v>48669.30999999999</v>
      </c>
    </row>
    <row r="6" spans="1:14" x14ac:dyDescent="0.35">
      <c r="A6" s="2" t="s">
        <v>17</v>
      </c>
      <c r="B6">
        <v>129863.68999999996</v>
      </c>
      <c r="C6">
        <v>59923.289999999986</v>
      </c>
      <c r="D6">
        <v>1038.9095199999997</v>
      </c>
      <c r="E6">
        <v>479.3863199999999</v>
      </c>
      <c r="J6" s="2" t="s">
        <v>17</v>
      </c>
      <c r="K6">
        <v>1038.9095199999997</v>
      </c>
      <c r="L6">
        <v>479.3863199999999</v>
      </c>
      <c r="M6">
        <v>129863.68999999996</v>
      </c>
      <c r="N6">
        <v>59923.289999999986</v>
      </c>
    </row>
    <row r="7" spans="1:14" x14ac:dyDescent="0.35">
      <c r="A7" s="2" t="s">
        <v>18</v>
      </c>
      <c r="B7">
        <v>42006.14</v>
      </c>
      <c r="C7">
        <v>17777.84</v>
      </c>
      <c r="D7">
        <v>1355.0367741935484</v>
      </c>
      <c r="E7">
        <v>573.47870967741937</v>
      </c>
      <c r="J7" s="2" t="s">
        <v>18</v>
      </c>
      <c r="K7">
        <v>1355.0367741935484</v>
      </c>
      <c r="L7">
        <v>573.47870967741937</v>
      </c>
      <c r="M7">
        <v>42006.14</v>
      </c>
      <c r="N7">
        <v>17777.84</v>
      </c>
    </row>
    <row r="8" spans="1:14" x14ac:dyDescent="0.35">
      <c r="A8" s="2" t="s">
        <v>8</v>
      </c>
      <c r="B8">
        <v>300673.27000000025</v>
      </c>
      <c r="C8">
        <v>139719.7699999999</v>
      </c>
      <c r="D8">
        <v>1002.2442333333341</v>
      </c>
      <c r="E8">
        <v>465.73256666666634</v>
      </c>
      <c r="J8" s="2" t="s">
        <v>8</v>
      </c>
      <c r="K8">
        <v>1002.2442333333341</v>
      </c>
      <c r="L8">
        <v>465.73256666666634</v>
      </c>
      <c r="M8">
        <v>300673.27000000025</v>
      </c>
      <c r="N8">
        <v>139719.7699999999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CB2F-6678-4ECE-8211-49BFA6C11051}">
  <dimension ref="A3:E19"/>
  <sheetViews>
    <sheetView workbookViewId="0">
      <selection activeCell="B18" sqref="B18"/>
    </sheetView>
  </sheetViews>
  <sheetFormatPr defaultRowHeight="14.5" x14ac:dyDescent="0.35"/>
  <cols>
    <col min="1" max="1" width="12.36328125" bestFit="1" customWidth="1"/>
    <col min="2" max="2" width="25.453125" bestFit="1" customWidth="1"/>
    <col min="3" max="3" width="21.6328125" bestFit="1" customWidth="1"/>
    <col min="4" max="4" width="26.453125" bestFit="1" customWidth="1"/>
    <col min="5" max="5" width="20.54296875" bestFit="1" customWidth="1"/>
  </cols>
  <sheetData>
    <row r="3" spans="1:5" x14ac:dyDescent="0.35">
      <c r="A3" s="1" t="s">
        <v>7</v>
      </c>
      <c r="B3" t="s">
        <v>20</v>
      </c>
      <c r="C3" t="s">
        <v>21</v>
      </c>
      <c r="D3" t="s">
        <v>32</v>
      </c>
      <c r="E3" t="s">
        <v>29</v>
      </c>
    </row>
    <row r="4" spans="1:5" x14ac:dyDescent="0.35">
      <c r="A4" s="2" t="s">
        <v>15</v>
      </c>
      <c r="B4">
        <v>20368.099999999999</v>
      </c>
      <c r="C4">
        <v>22980.200000000004</v>
      </c>
      <c r="D4">
        <v>8137.3699999999981</v>
      </c>
      <c r="E4">
        <v>13349.33</v>
      </c>
    </row>
    <row r="5" spans="1:5" x14ac:dyDescent="0.35">
      <c r="A5" s="2" t="s">
        <v>16</v>
      </c>
      <c r="B5">
        <v>98404.169999999984</v>
      </c>
      <c r="C5">
        <v>105823.24000000002</v>
      </c>
      <c r="D5">
        <v>39137.959999999992</v>
      </c>
      <c r="E5">
        <v>48669.30999999999</v>
      </c>
    </row>
    <row r="6" spans="1:5" x14ac:dyDescent="0.35">
      <c r="A6" s="2" t="s">
        <v>17</v>
      </c>
      <c r="B6">
        <v>142420.35999999999</v>
      </c>
      <c r="C6">
        <v>129863.68999999996</v>
      </c>
      <c r="D6">
        <v>75424.420000000027</v>
      </c>
      <c r="E6">
        <v>59923.289999999986</v>
      </c>
    </row>
    <row r="7" spans="1:5" x14ac:dyDescent="0.35">
      <c r="A7" s="2" t="s">
        <v>18</v>
      </c>
      <c r="B7">
        <v>44830.150000000009</v>
      </c>
      <c r="C7">
        <v>42006.14</v>
      </c>
      <c r="D7">
        <v>22629.440000000002</v>
      </c>
      <c r="E7">
        <v>17777.84</v>
      </c>
    </row>
    <row r="8" spans="1:5" x14ac:dyDescent="0.35">
      <c r="A8" s="2" t="s">
        <v>8</v>
      </c>
      <c r="B8">
        <v>306022.77999999997</v>
      </c>
      <c r="C8">
        <v>300673.27</v>
      </c>
      <c r="D8">
        <v>145329.19</v>
      </c>
      <c r="E8">
        <v>139719.76999999999</v>
      </c>
    </row>
    <row r="13" spans="1:5" x14ac:dyDescent="0.35">
      <c r="A13" s="1" t="s">
        <v>7</v>
      </c>
      <c r="B13" t="s">
        <v>34</v>
      </c>
      <c r="C13" t="s">
        <v>30</v>
      </c>
      <c r="D13" t="s">
        <v>33</v>
      </c>
      <c r="E13" t="s">
        <v>31</v>
      </c>
    </row>
    <row r="14" spans="1:5" x14ac:dyDescent="0.35">
      <c r="A14" s="2" t="s">
        <v>15</v>
      </c>
      <c r="B14">
        <v>581.94571428571419</v>
      </c>
      <c r="C14">
        <v>656.57714285714303</v>
      </c>
      <c r="D14">
        <v>232.49628571428565</v>
      </c>
      <c r="E14">
        <v>381.40942857142858</v>
      </c>
    </row>
    <row r="15" spans="1:5" x14ac:dyDescent="0.35">
      <c r="A15" s="2" t="s">
        <v>16</v>
      </c>
      <c r="B15">
        <v>902.79055045871542</v>
      </c>
      <c r="C15">
        <v>970.85541284403689</v>
      </c>
      <c r="D15">
        <v>359.06385321100908</v>
      </c>
      <c r="E15">
        <v>446.50743119266048</v>
      </c>
    </row>
    <row r="16" spans="1:5" x14ac:dyDescent="0.35">
      <c r="A16" s="2" t="s">
        <v>17</v>
      </c>
      <c r="B16">
        <v>1139.3628799999999</v>
      </c>
      <c r="C16">
        <v>1038.9095199999997</v>
      </c>
      <c r="D16">
        <v>603.39536000000021</v>
      </c>
      <c r="E16">
        <v>479.3863199999999</v>
      </c>
    </row>
    <row r="17" spans="1:5" x14ac:dyDescent="0.35">
      <c r="A17" s="2" t="s">
        <v>18</v>
      </c>
      <c r="B17">
        <v>1446.1338709677423</v>
      </c>
      <c r="C17">
        <v>1355.0367741935484</v>
      </c>
      <c r="D17">
        <v>729.9819354838711</v>
      </c>
      <c r="E17">
        <v>573.47870967741937</v>
      </c>
    </row>
    <row r="18" spans="1:5" x14ac:dyDescent="0.35">
      <c r="A18" s="2" t="s">
        <v>8</v>
      </c>
      <c r="B18">
        <v>1020.0759333333332</v>
      </c>
      <c r="C18">
        <v>1002.2442333333341</v>
      </c>
      <c r="D18">
        <v>484.43063333333316</v>
      </c>
      <c r="E18">
        <v>465.73256666666634</v>
      </c>
    </row>
    <row r="19" spans="1:5" x14ac:dyDescent="0.35">
      <c r="D19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A0F5-62F2-4FF3-9449-D2107D908712}">
  <dimension ref="A3:E8"/>
  <sheetViews>
    <sheetView workbookViewId="0">
      <selection activeCell="E14" sqref="E14"/>
    </sheetView>
  </sheetViews>
  <sheetFormatPr defaultRowHeight="14.5" x14ac:dyDescent="0.35"/>
  <cols>
    <col min="1" max="1" width="12.36328125" bestFit="1" customWidth="1"/>
    <col min="2" max="2" width="9.26953125" bestFit="1" customWidth="1"/>
    <col min="3" max="3" width="15.453125" bestFit="1" customWidth="1"/>
    <col min="4" max="4" width="13.453125" bestFit="1" customWidth="1"/>
    <col min="5" max="5" width="19.6328125" bestFit="1" customWidth="1"/>
  </cols>
  <sheetData>
    <row r="3" spans="1:5" x14ac:dyDescent="0.35">
      <c r="A3" s="1" t="s">
        <v>7</v>
      </c>
      <c r="B3" t="s">
        <v>45</v>
      </c>
      <c r="C3" t="s">
        <v>46</v>
      </c>
      <c r="D3" t="s">
        <v>47</v>
      </c>
      <c r="E3" t="s">
        <v>48</v>
      </c>
    </row>
    <row r="4" spans="1:5" x14ac:dyDescent="0.35">
      <c r="A4" s="2" t="s">
        <v>15</v>
      </c>
      <c r="B4" s="4">
        <v>10934.41</v>
      </c>
      <c r="C4" s="4">
        <v>9433.6900000000023</v>
      </c>
      <c r="D4" s="4">
        <v>312.41171428571425</v>
      </c>
      <c r="E4" s="4">
        <v>269.53400000000005</v>
      </c>
    </row>
    <row r="5" spans="1:5" x14ac:dyDescent="0.35">
      <c r="A5" s="2" t="s">
        <v>16</v>
      </c>
      <c r="B5" s="4">
        <v>51856.849999999984</v>
      </c>
      <c r="C5" s="4">
        <v>46547.320000000007</v>
      </c>
      <c r="D5" s="4">
        <v>475.75091743119253</v>
      </c>
      <c r="E5" s="4">
        <v>427.039633027523</v>
      </c>
    </row>
    <row r="6" spans="1:5" x14ac:dyDescent="0.35">
      <c r="A6" s="2" t="s">
        <v>17</v>
      </c>
      <c r="B6" s="4">
        <v>70036.39</v>
      </c>
      <c r="C6" s="4">
        <v>72383.970000000045</v>
      </c>
      <c r="D6" s="4">
        <v>560.29111999999998</v>
      </c>
      <c r="E6" s="4">
        <v>579.07176000000038</v>
      </c>
    </row>
    <row r="7" spans="1:5" x14ac:dyDescent="0.35">
      <c r="A7" s="2" t="s">
        <v>18</v>
      </c>
      <c r="B7" s="4">
        <v>22401.65</v>
      </c>
      <c r="C7" s="4">
        <v>22428.499999999996</v>
      </c>
      <c r="D7" s="4">
        <v>722.63387096774193</v>
      </c>
      <c r="E7" s="4">
        <v>723.49999999999989</v>
      </c>
    </row>
    <row r="8" spans="1:5" x14ac:dyDescent="0.35">
      <c r="A8" s="2" t="s">
        <v>8</v>
      </c>
      <c r="B8" s="4">
        <v>155229.29999999999</v>
      </c>
      <c r="C8" s="4">
        <v>150793.4800000001</v>
      </c>
      <c r="D8" s="4">
        <v>517.43099999999993</v>
      </c>
      <c r="E8" s="4">
        <v>502.64493333333365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2814-3A7E-4F90-BA2A-B2D612C7C397}">
  <dimension ref="A3:E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5.26953125" bestFit="1" customWidth="1"/>
    <col min="3" max="3" width="22.36328125" bestFit="1" customWidth="1"/>
    <col min="4" max="4" width="29.453125" bestFit="1" customWidth="1"/>
    <col min="5" max="5" width="26.54296875" bestFit="1" customWidth="1"/>
  </cols>
  <sheetData>
    <row r="3" spans="1:5" x14ac:dyDescent="0.35">
      <c r="A3" s="1" t="s">
        <v>7</v>
      </c>
      <c r="B3" t="s">
        <v>50</v>
      </c>
      <c r="C3" t="s">
        <v>51</v>
      </c>
      <c r="D3" t="s">
        <v>52</v>
      </c>
      <c r="E3" t="s">
        <v>53</v>
      </c>
    </row>
    <row r="4" spans="1:5" x14ac:dyDescent="0.35">
      <c r="A4" s="2" t="s">
        <v>15</v>
      </c>
      <c r="B4" s="4">
        <v>43348.299999999996</v>
      </c>
      <c r="C4" s="4">
        <v>21486.699999999997</v>
      </c>
      <c r="D4" s="4">
        <v>1238.522857142857</v>
      </c>
      <c r="E4" s="4">
        <v>613.90571428571423</v>
      </c>
    </row>
    <row r="5" spans="1:5" x14ac:dyDescent="0.35">
      <c r="A5" s="2" t="s">
        <v>16</v>
      </c>
      <c r="B5" s="4">
        <v>204227.40999999997</v>
      </c>
      <c r="C5" s="4">
        <v>87807.270000000048</v>
      </c>
      <c r="D5" s="4">
        <v>1873.6459633027521</v>
      </c>
      <c r="E5" s="4">
        <v>805.57128440367012</v>
      </c>
    </row>
    <row r="6" spans="1:5" x14ac:dyDescent="0.35">
      <c r="A6" s="2" t="s">
        <v>17</v>
      </c>
      <c r="B6" s="4">
        <v>272284.0500000001</v>
      </c>
      <c r="C6" s="4">
        <v>135347.70999999993</v>
      </c>
      <c r="D6" s="4">
        <v>2178.2724000000007</v>
      </c>
      <c r="E6" s="4">
        <v>1082.7816799999994</v>
      </c>
    </row>
    <row r="7" spans="1:5" x14ac:dyDescent="0.35">
      <c r="A7" s="2" t="s">
        <v>18</v>
      </c>
      <c r="B7" s="4">
        <v>86836.290000000023</v>
      </c>
      <c r="C7" s="4">
        <v>40407.280000000006</v>
      </c>
      <c r="D7" s="4">
        <v>2801.1706451612908</v>
      </c>
      <c r="E7" s="4">
        <v>1303.4606451612906</v>
      </c>
    </row>
    <row r="8" spans="1:5" x14ac:dyDescent="0.35">
      <c r="A8" s="2" t="s">
        <v>8</v>
      </c>
      <c r="B8" s="4">
        <v>606696.04999999981</v>
      </c>
      <c r="C8" s="4">
        <v>285048.95999999985</v>
      </c>
      <c r="D8" s="4">
        <v>2022.320166666666</v>
      </c>
      <c r="E8" s="4">
        <v>950.16319999999951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7746-305B-4AF4-9DAE-B036BD9880B0}">
  <dimension ref="A1:U301"/>
  <sheetViews>
    <sheetView workbookViewId="0">
      <selection sqref="A1:P301"/>
    </sheetView>
  </sheetViews>
  <sheetFormatPr defaultRowHeight="14.5" x14ac:dyDescent="0.35"/>
  <cols>
    <col min="1" max="1" width="6.81640625" bestFit="1" customWidth="1"/>
    <col min="2" max="2" width="9.08984375" bestFit="1" customWidth="1"/>
    <col min="3" max="3" width="10.7265625" bestFit="1" customWidth="1"/>
    <col min="4" max="4" width="11.81640625" bestFit="1" customWidth="1"/>
    <col min="5" max="5" width="18.90625" bestFit="1" customWidth="1"/>
    <col min="6" max="6" width="16.81640625" bestFit="1" customWidth="1"/>
    <col min="7" max="7" width="11.81640625" bestFit="1" customWidth="1"/>
    <col min="8" max="8" width="18.1796875" bestFit="1" customWidth="1"/>
    <col min="9" max="9" width="10.7265625" bestFit="1" customWidth="1"/>
    <col min="10" max="10" width="12.54296875" bestFit="1" customWidth="1"/>
    <col min="11" max="11" width="15.6328125" bestFit="1" customWidth="1"/>
    <col min="12" max="12" width="11.90625" bestFit="1" customWidth="1"/>
    <col min="13" max="13" width="16.7265625" bestFit="1" customWidth="1"/>
    <col min="14" max="14" width="10.81640625" bestFit="1" customWidth="1"/>
    <col min="15" max="15" width="18.81640625" bestFit="1" customWidth="1"/>
    <col min="16" max="16" width="15.81640625" bestFit="1" customWidth="1"/>
    <col min="19" max="19" width="16" bestFit="1" customWidth="1"/>
    <col min="20" max="20" width="11.08984375" bestFit="1" customWidth="1"/>
    <col min="21" max="21" width="13.7265625" bestFit="1" customWidth="1"/>
  </cols>
  <sheetData>
    <row r="1" spans="1:21" x14ac:dyDescent="0.35">
      <c r="A1" t="s">
        <v>49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I1" t="s">
        <v>9</v>
      </c>
      <c r="J1" t="s">
        <v>26</v>
      </c>
      <c r="K1" t="s">
        <v>10</v>
      </c>
      <c r="L1" t="s">
        <v>11</v>
      </c>
      <c r="M1" t="s">
        <v>12</v>
      </c>
      <c r="N1" t="s">
        <v>13</v>
      </c>
      <c r="O1" t="s">
        <v>43</v>
      </c>
      <c r="P1" t="s">
        <v>44</v>
      </c>
    </row>
    <row r="2" spans="1:21" x14ac:dyDescent="0.35">
      <c r="A2">
        <v>281.42</v>
      </c>
      <c r="B2">
        <v>538.79999999999995</v>
      </c>
      <c r="C2">
        <v>123.94</v>
      </c>
      <c r="D2">
        <v>349.3</v>
      </c>
      <c r="E2">
        <v>242.77</v>
      </c>
      <c r="F2">
        <v>910.1</v>
      </c>
      <c r="G2">
        <v>7164</v>
      </c>
      <c r="H2" t="str">
        <f>IF(G2&lt;5000,"0-5000",IF(G2&lt;7000,"5000-6999",IF(G2&lt;9000,"7000-8999","9000+")))</f>
        <v>7000-8999</v>
      </c>
      <c r="I2">
        <f>A2+B2+C2+D2+E2+F2</f>
        <v>2446.33</v>
      </c>
      <c r="J2" s="3">
        <f>I2/G2</f>
        <v>0.34147543271915132</v>
      </c>
      <c r="K2">
        <f t="shared" ref="K2:K33" si="0">A2+B2</f>
        <v>820.22</v>
      </c>
      <c r="L2">
        <f>C2+D2</f>
        <v>473.24</v>
      </c>
      <c r="M2">
        <f>F2</f>
        <v>910.1</v>
      </c>
      <c r="N2">
        <f>E2</f>
        <v>242.77</v>
      </c>
      <c r="O2">
        <f>K2+L2</f>
        <v>1293.46</v>
      </c>
      <c r="P2">
        <f>M2+N2</f>
        <v>1152.8700000000001</v>
      </c>
    </row>
    <row r="3" spans="1:21" x14ac:dyDescent="0.35">
      <c r="A3">
        <v>702.97</v>
      </c>
      <c r="B3">
        <v>296.52999999999997</v>
      </c>
      <c r="C3">
        <v>558.13</v>
      </c>
      <c r="D3">
        <v>180.55</v>
      </c>
      <c r="E3">
        <v>781.06</v>
      </c>
      <c r="F3">
        <v>132.43</v>
      </c>
      <c r="G3">
        <v>5055</v>
      </c>
      <c r="H3" t="str">
        <f t="shared" ref="H3:H66" si="1">IF(G3&lt;5000,"0-5000",IF(G3&lt;7000,"5000-6999",IF(G3&lt;9000,"7000-8999","9000+")))</f>
        <v>5000-6999</v>
      </c>
      <c r="I3">
        <f t="shared" ref="I3:I66" si="2">A3+B3+C3+D3+E3+F3</f>
        <v>2651.6699999999996</v>
      </c>
      <c r="J3" s="3">
        <f t="shared" ref="J3:J66" si="3">I3/G3</f>
        <v>0.52456379821958454</v>
      </c>
      <c r="K3">
        <f t="shared" si="0"/>
        <v>999.5</v>
      </c>
      <c r="L3">
        <f t="shared" ref="L3:L66" si="4">C3+D3</f>
        <v>738.68000000000006</v>
      </c>
      <c r="M3">
        <f t="shared" ref="M3:M66" si="5">F3</f>
        <v>132.43</v>
      </c>
      <c r="N3">
        <f t="shared" ref="N3:N66" si="6">E3</f>
        <v>781.06</v>
      </c>
      <c r="O3">
        <f t="shared" ref="O3:O66" si="7">K3+L3</f>
        <v>1738.18</v>
      </c>
      <c r="P3">
        <f t="shared" ref="P3:P66" si="8">M3+N3</f>
        <v>913.49</v>
      </c>
    </row>
    <row r="4" spans="1:21" x14ac:dyDescent="0.35">
      <c r="A4">
        <v>313.14</v>
      </c>
      <c r="B4">
        <v>295.94</v>
      </c>
      <c r="C4">
        <v>642.96</v>
      </c>
      <c r="D4">
        <v>505.71</v>
      </c>
      <c r="E4">
        <v>438.91</v>
      </c>
      <c r="F4">
        <v>464.23</v>
      </c>
      <c r="G4">
        <v>6154</v>
      </c>
      <c r="H4" t="str">
        <f t="shared" si="1"/>
        <v>5000-6999</v>
      </c>
      <c r="I4">
        <f t="shared" si="2"/>
        <v>2660.89</v>
      </c>
      <c r="J4" s="3">
        <f>I4/G4</f>
        <v>0.43238381540461485</v>
      </c>
      <c r="K4">
        <f t="shared" si="0"/>
        <v>609.07999999999993</v>
      </c>
      <c r="L4">
        <f t="shared" si="4"/>
        <v>1148.67</v>
      </c>
      <c r="M4">
        <f t="shared" si="5"/>
        <v>464.23</v>
      </c>
      <c r="N4">
        <f t="shared" si="6"/>
        <v>438.91</v>
      </c>
      <c r="O4">
        <f t="shared" si="7"/>
        <v>1757.75</v>
      </c>
      <c r="P4">
        <f t="shared" si="8"/>
        <v>903.1400000000001</v>
      </c>
      <c r="S4" t="s">
        <v>40</v>
      </c>
      <c r="T4" t="s">
        <v>41</v>
      </c>
      <c r="U4" t="s">
        <v>42</v>
      </c>
    </row>
    <row r="5" spans="1:21" x14ac:dyDescent="0.35">
      <c r="A5">
        <v>898.52</v>
      </c>
      <c r="B5">
        <v>61.27</v>
      </c>
      <c r="C5">
        <v>548.73</v>
      </c>
      <c r="D5">
        <v>240.93</v>
      </c>
      <c r="E5">
        <v>278.95999999999998</v>
      </c>
      <c r="F5">
        <v>432.27</v>
      </c>
      <c r="G5">
        <v>5480</v>
      </c>
      <c r="H5" t="str">
        <f t="shared" si="1"/>
        <v>5000-6999</v>
      </c>
      <c r="I5">
        <f t="shared" si="2"/>
        <v>2460.6800000000003</v>
      </c>
      <c r="J5" s="3">
        <f t="shared" si="3"/>
        <v>0.44902919708029204</v>
      </c>
      <c r="K5">
        <f t="shared" si="0"/>
        <v>959.79</v>
      </c>
      <c r="L5">
        <f t="shared" si="4"/>
        <v>789.66000000000008</v>
      </c>
      <c r="M5">
        <f t="shared" si="5"/>
        <v>432.27</v>
      </c>
      <c r="N5">
        <f t="shared" si="6"/>
        <v>278.95999999999998</v>
      </c>
      <c r="O5">
        <f t="shared" si="7"/>
        <v>1749.45</v>
      </c>
      <c r="P5">
        <f t="shared" si="8"/>
        <v>711.23</v>
      </c>
      <c r="S5" t="s">
        <v>36</v>
      </c>
      <c r="T5">
        <f>SUM(K2:K301)</f>
        <v>306022.78000000014</v>
      </c>
      <c r="U5">
        <f>AVERAGE(K2:K301)</f>
        <v>1020.0759333333339</v>
      </c>
    </row>
    <row r="6" spans="1:21" x14ac:dyDescent="0.35">
      <c r="A6">
        <v>766.52</v>
      </c>
      <c r="B6">
        <v>550.72</v>
      </c>
      <c r="C6">
        <v>651.91</v>
      </c>
      <c r="D6">
        <v>666.33</v>
      </c>
      <c r="E6">
        <v>396.33</v>
      </c>
      <c r="F6">
        <v>841.93</v>
      </c>
      <c r="G6">
        <v>9669</v>
      </c>
      <c r="H6" t="str">
        <f t="shared" si="1"/>
        <v>9000+</v>
      </c>
      <c r="I6">
        <f t="shared" si="2"/>
        <v>3873.74</v>
      </c>
      <c r="J6" s="3">
        <f t="shared" si="3"/>
        <v>0.40063501913331262</v>
      </c>
      <c r="K6">
        <f t="shared" si="0"/>
        <v>1317.24</v>
      </c>
      <c r="L6">
        <f t="shared" si="4"/>
        <v>1318.24</v>
      </c>
      <c r="M6">
        <f t="shared" si="5"/>
        <v>841.93</v>
      </c>
      <c r="N6">
        <f t="shared" si="6"/>
        <v>396.33</v>
      </c>
      <c r="O6">
        <f t="shared" si="7"/>
        <v>2635.48</v>
      </c>
      <c r="P6">
        <f t="shared" si="8"/>
        <v>1238.26</v>
      </c>
      <c r="S6" t="s">
        <v>37</v>
      </c>
      <c r="T6">
        <f>SUM(L2:L301)</f>
        <v>300673.27000000019</v>
      </c>
      <c r="U6">
        <f>AVERAGE(L2:L301)</f>
        <v>1002.244233333334</v>
      </c>
    </row>
    <row r="7" spans="1:21" x14ac:dyDescent="0.35">
      <c r="A7">
        <v>507.13</v>
      </c>
      <c r="B7">
        <v>612.27</v>
      </c>
      <c r="C7">
        <v>230.67</v>
      </c>
      <c r="D7">
        <v>142.96</v>
      </c>
      <c r="E7">
        <v>171.79</v>
      </c>
      <c r="F7">
        <v>965.77</v>
      </c>
      <c r="G7">
        <v>7627</v>
      </c>
      <c r="H7" t="str">
        <f t="shared" si="1"/>
        <v>7000-8999</v>
      </c>
      <c r="I7">
        <f t="shared" si="2"/>
        <v>2630.59</v>
      </c>
      <c r="J7" s="3">
        <f t="shared" si="3"/>
        <v>0.3449049429657795</v>
      </c>
      <c r="K7">
        <f t="shared" si="0"/>
        <v>1119.4000000000001</v>
      </c>
      <c r="L7">
        <f t="shared" si="4"/>
        <v>373.63</v>
      </c>
      <c r="M7">
        <f t="shared" si="5"/>
        <v>965.77</v>
      </c>
      <c r="N7">
        <f t="shared" si="6"/>
        <v>171.79</v>
      </c>
      <c r="O7">
        <f t="shared" si="7"/>
        <v>1493.0300000000002</v>
      </c>
      <c r="P7">
        <f t="shared" si="8"/>
        <v>1137.56</v>
      </c>
      <c r="S7" t="s">
        <v>38</v>
      </c>
      <c r="T7">
        <f>SUM(M2:M301)</f>
        <v>145329.18999999997</v>
      </c>
      <c r="U7">
        <f>AVERAGE(M2:M301)</f>
        <v>484.43063333333322</v>
      </c>
    </row>
    <row r="8" spans="1:21" x14ac:dyDescent="0.35">
      <c r="A8">
        <v>486.64</v>
      </c>
      <c r="B8">
        <v>555.02</v>
      </c>
      <c r="C8">
        <v>203.26</v>
      </c>
      <c r="D8">
        <v>271.62</v>
      </c>
      <c r="E8">
        <v>70.040000000000006</v>
      </c>
      <c r="F8">
        <v>366.25</v>
      </c>
      <c r="G8">
        <v>5177</v>
      </c>
      <c r="H8" t="str">
        <f t="shared" si="1"/>
        <v>5000-6999</v>
      </c>
      <c r="I8">
        <f t="shared" si="2"/>
        <v>1952.83</v>
      </c>
      <c r="J8" s="3">
        <f t="shared" si="3"/>
        <v>0.37721267143133086</v>
      </c>
      <c r="K8">
        <f t="shared" si="0"/>
        <v>1041.6599999999999</v>
      </c>
      <c r="L8">
        <f t="shared" si="4"/>
        <v>474.88</v>
      </c>
      <c r="M8">
        <f t="shared" si="5"/>
        <v>366.25</v>
      </c>
      <c r="N8">
        <f t="shared" si="6"/>
        <v>70.040000000000006</v>
      </c>
      <c r="O8">
        <f t="shared" si="7"/>
        <v>1516.54</v>
      </c>
      <c r="P8">
        <f t="shared" si="8"/>
        <v>436.29</v>
      </c>
      <c r="S8" t="s">
        <v>39</v>
      </c>
      <c r="T8">
        <f>SUM(N2:N301)</f>
        <v>139719.76999999996</v>
      </c>
      <c r="U8">
        <f>AVERAGE(N2:N301)</f>
        <v>465.73256666666651</v>
      </c>
    </row>
    <row r="9" spans="1:21" x14ac:dyDescent="0.35">
      <c r="A9">
        <v>762.09</v>
      </c>
      <c r="B9">
        <v>184.57</v>
      </c>
      <c r="C9">
        <v>176.61</v>
      </c>
      <c r="D9">
        <v>97.85</v>
      </c>
      <c r="E9">
        <v>116.67</v>
      </c>
      <c r="F9">
        <v>251.74</v>
      </c>
      <c r="G9">
        <v>3726</v>
      </c>
      <c r="H9" t="str">
        <f t="shared" si="1"/>
        <v>0-5000</v>
      </c>
      <c r="I9">
        <f t="shared" si="2"/>
        <v>1589.53</v>
      </c>
      <c r="J9" s="3">
        <f t="shared" si="3"/>
        <v>0.42660493827160495</v>
      </c>
      <c r="K9">
        <f t="shared" si="0"/>
        <v>946.66000000000008</v>
      </c>
      <c r="L9">
        <f t="shared" si="4"/>
        <v>274.46000000000004</v>
      </c>
      <c r="M9">
        <f t="shared" si="5"/>
        <v>251.74</v>
      </c>
      <c r="N9">
        <f t="shared" si="6"/>
        <v>116.67</v>
      </c>
      <c r="O9">
        <f t="shared" si="7"/>
        <v>1221.1200000000001</v>
      </c>
      <c r="P9">
        <f t="shared" si="8"/>
        <v>368.41</v>
      </c>
    </row>
    <row r="10" spans="1:21" x14ac:dyDescent="0.35">
      <c r="A10">
        <v>638.6</v>
      </c>
      <c r="B10">
        <v>778.31</v>
      </c>
      <c r="C10">
        <v>796.32</v>
      </c>
      <c r="D10">
        <v>759.04</v>
      </c>
      <c r="E10">
        <v>857.13</v>
      </c>
      <c r="F10">
        <v>515.16</v>
      </c>
      <c r="G10">
        <v>9801</v>
      </c>
      <c r="H10" t="str">
        <f t="shared" si="1"/>
        <v>9000+</v>
      </c>
      <c r="I10">
        <f t="shared" si="2"/>
        <v>4344.5600000000004</v>
      </c>
      <c r="J10" s="3">
        <f t="shared" si="3"/>
        <v>0.44327721661054997</v>
      </c>
      <c r="K10">
        <f t="shared" si="0"/>
        <v>1416.9099999999999</v>
      </c>
      <c r="L10">
        <f t="shared" si="4"/>
        <v>1555.3600000000001</v>
      </c>
      <c r="M10">
        <f t="shared" si="5"/>
        <v>515.16</v>
      </c>
      <c r="N10">
        <f t="shared" si="6"/>
        <v>857.13</v>
      </c>
      <c r="O10">
        <f t="shared" si="7"/>
        <v>2972.27</v>
      </c>
      <c r="P10">
        <f t="shared" si="8"/>
        <v>1372.29</v>
      </c>
    </row>
    <row r="11" spans="1:21" x14ac:dyDescent="0.35">
      <c r="A11">
        <v>591.48</v>
      </c>
      <c r="B11">
        <v>542.51</v>
      </c>
      <c r="C11">
        <v>400.23</v>
      </c>
      <c r="D11">
        <v>329.15</v>
      </c>
      <c r="E11">
        <v>577.38</v>
      </c>
      <c r="F11">
        <v>931.65</v>
      </c>
      <c r="G11">
        <v>8652</v>
      </c>
      <c r="H11" t="str">
        <f t="shared" si="1"/>
        <v>7000-8999</v>
      </c>
      <c r="I11">
        <f t="shared" si="2"/>
        <v>3372.4</v>
      </c>
      <c r="J11" s="3">
        <f t="shared" si="3"/>
        <v>0.38978270920018493</v>
      </c>
      <c r="K11">
        <f t="shared" si="0"/>
        <v>1133.99</v>
      </c>
      <c r="L11">
        <f t="shared" si="4"/>
        <v>729.38</v>
      </c>
      <c r="M11">
        <f t="shared" si="5"/>
        <v>931.65</v>
      </c>
      <c r="N11">
        <f t="shared" si="6"/>
        <v>577.38</v>
      </c>
      <c r="O11">
        <f t="shared" si="7"/>
        <v>1863.37</v>
      </c>
      <c r="P11">
        <f t="shared" si="8"/>
        <v>1509.03</v>
      </c>
    </row>
    <row r="12" spans="1:21" x14ac:dyDescent="0.35">
      <c r="A12">
        <v>667.17</v>
      </c>
      <c r="B12">
        <v>577.85</v>
      </c>
      <c r="C12">
        <v>898.19</v>
      </c>
      <c r="D12">
        <v>970.28</v>
      </c>
      <c r="E12">
        <v>789.52</v>
      </c>
      <c r="F12">
        <v>852.99</v>
      </c>
      <c r="G12">
        <v>11210</v>
      </c>
      <c r="H12" t="str">
        <f t="shared" si="1"/>
        <v>9000+</v>
      </c>
      <c r="I12">
        <f t="shared" si="2"/>
        <v>4756</v>
      </c>
      <c r="J12" s="3">
        <f t="shared" si="3"/>
        <v>0.42426404995539696</v>
      </c>
      <c r="K12">
        <f t="shared" si="0"/>
        <v>1245.02</v>
      </c>
      <c r="L12">
        <f t="shared" si="4"/>
        <v>1868.47</v>
      </c>
      <c r="M12">
        <f t="shared" si="5"/>
        <v>852.99</v>
      </c>
      <c r="N12">
        <f t="shared" si="6"/>
        <v>789.52</v>
      </c>
      <c r="O12">
        <f t="shared" si="7"/>
        <v>3113.49</v>
      </c>
      <c r="P12">
        <f t="shared" si="8"/>
        <v>1642.51</v>
      </c>
    </row>
    <row r="13" spans="1:21" x14ac:dyDescent="0.35">
      <c r="A13">
        <v>787.33</v>
      </c>
      <c r="B13">
        <v>947.73</v>
      </c>
      <c r="C13">
        <v>884.15</v>
      </c>
      <c r="D13">
        <v>992.3</v>
      </c>
      <c r="E13">
        <v>871.55</v>
      </c>
      <c r="F13">
        <v>742.36</v>
      </c>
      <c r="G13">
        <v>12227</v>
      </c>
      <c r="H13" t="str">
        <f t="shared" si="1"/>
        <v>9000+</v>
      </c>
      <c r="I13">
        <f t="shared" si="2"/>
        <v>5225.42</v>
      </c>
      <c r="J13" s="3">
        <f t="shared" si="3"/>
        <v>0.42736730187290423</v>
      </c>
      <c r="K13">
        <f t="shared" si="0"/>
        <v>1735.06</v>
      </c>
      <c r="L13">
        <f t="shared" si="4"/>
        <v>1876.4499999999998</v>
      </c>
      <c r="M13">
        <f t="shared" si="5"/>
        <v>742.36</v>
      </c>
      <c r="N13">
        <f t="shared" si="6"/>
        <v>871.55</v>
      </c>
      <c r="O13">
        <f t="shared" si="7"/>
        <v>3611.5099999999998</v>
      </c>
      <c r="P13">
        <f t="shared" si="8"/>
        <v>1613.9099999999999</v>
      </c>
    </row>
    <row r="14" spans="1:21" x14ac:dyDescent="0.35">
      <c r="A14">
        <v>537.75</v>
      </c>
      <c r="B14">
        <v>865.19</v>
      </c>
      <c r="C14">
        <v>768.61</v>
      </c>
      <c r="D14">
        <v>626.87</v>
      </c>
      <c r="E14">
        <v>702.96</v>
      </c>
      <c r="F14">
        <v>211.92</v>
      </c>
      <c r="G14">
        <v>8093</v>
      </c>
      <c r="H14" t="str">
        <f t="shared" si="1"/>
        <v>7000-8999</v>
      </c>
      <c r="I14">
        <f t="shared" si="2"/>
        <v>3713.3</v>
      </c>
      <c r="J14" s="3">
        <f t="shared" si="3"/>
        <v>0.45882861732361302</v>
      </c>
      <c r="K14">
        <f t="shared" si="0"/>
        <v>1402.94</v>
      </c>
      <c r="L14">
        <f t="shared" si="4"/>
        <v>1395.48</v>
      </c>
      <c r="M14">
        <f t="shared" si="5"/>
        <v>211.92</v>
      </c>
      <c r="N14">
        <f t="shared" si="6"/>
        <v>702.96</v>
      </c>
      <c r="O14">
        <f t="shared" si="7"/>
        <v>2798.42</v>
      </c>
      <c r="P14">
        <f t="shared" si="8"/>
        <v>914.88</v>
      </c>
    </row>
    <row r="15" spans="1:21" x14ac:dyDescent="0.35">
      <c r="A15">
        <v>735.78</v>
      </c>
      <c r="B15">
        <v>661.81</v>
      </c>
      <c r="C15">
        <v>282</v>
      </c>
      <c r="D15">
        <v>102.96</v>
      </c>
      <c r="E15">
        <v>588.45000000000005</v>
      </c>
      <c r="F15">
        <v>585.74</v>
      </c>
      <c r="G15">
        <v>7181</v>
      </c>
      <c r="H15" t="str">
        <f t="shared" si="1"/>
        <v>7000-8999</v>
      </c>
      <c r="I15">
        <f t="shared" si="2"/>
        <v>2956.74</v>
      </c>
      <c r="J15" s="3">
        <f t="shared" si="3"/>
        <v>0.41174488232836648</v>
      </c>
      <c r="K15">
        <f t="shared" si="0"/>
        <v>1397.59</v>
      </c>
      <c r="L15">
        <f t="shared" si="4"/>
        <v>384.96</v>
      </c>
      <c r="M15">
        <f t="shared" si="5"/>
        <v>585.74</v>
      </c>
      <c r="N15">
        <f t="shared" si="6"/>
        <v>588.45000000000005</v>
      </c>
      <c r="O15">
        <f t="shared" si="7"/>
        <v>1782.55</v>
      </c>
      <c r="P15">
        <f t="shared" si="8"/>
        <v>1174.19</v>
      </c>
    </row>
    <row r="16" spans="1:21" x14ac:dyDescent="0.35">
      <c r="A16">
        <v>631.14</v>
      </c>
      <c r="B16">
        <v>207.04</v>
      </c>
      <c r="C16">
        <v>939.62</v>
      </c>
      <c r="D16">
        <v>358.88</v>
      </c>
      <c r="E16">
        <v>515.59</v>
      </c>
      <c r="F16">
        <v>778.49</v>
      </c>
      <c r="G16">
        <v>7910</v>
      </c>
      <c r="H16" t="str">
        <f t="shared" si="1"/>
        <v>7000-8999</v>
      </c>
      <c r="I16">
        <f t="shared" si="2"/>
        <v>3430.76</v>
      </c>
      <c r="J16" s="3">
        <f t="shared" si="3"/>
        <v>0.43372439949431102</v>
      </c>
      <c r="K16">
        <f t="shared" si="0"/>
        <v>838.18</v>
      </c>
      <c r="L16">
        <f t="shared" si="4"/>
        <v>1298.5</v>
      </c>
      <c r="M16">
        <f t="shared" si="5"/>
        <v>778.49</v>
      </c>
      <c r="N16">
        <f t="shared" si="6"/>
        <v>515.59</v>
      </c>
      <c r="O16">
        <f t="shared" si="7"/>
        <v>2136.6799999999998</v>
      </c>
      <c r="P16">
        <f t="shared" si="8"/>
        <v>1294.08</v>
      </c>
    </row>
    <row r="17" spans="1:16" x14ac:dyDescent="0.35">
      <c r="A17">
        <v>334.12</v>
      </c>
      <c r="B17">
        <v>515.21</v>
      </c>
      <c r="C17">
        <v>565.22</v>
      </c>
      <c r="D17">
        <v>153.75</v>
      </c>
      <c r="E17">
        <v>685.88</v>
      </c>
      <c r="F17">
        <v>271.07</v>
      </c>
      <c r="G17">
        <v>5337</v>
      </c>
      <c r="H17" t="str">
        <f t="shared" si="1"/>
        <v>5000-6999</v>
      </c>
      <c r="I17">
        <f t="shared" si="2"/>
        <v>2525.2500000000005</v>
      </c>
      <c r="J17" s="3">
        <f t="shared" si="3"/>
        <v>0.47315907813378311</v>
      </c>
      <c r="K17">
        <f t="shared" si="0"/>
        <v>849.33</v>
      </c>
      <c r="L17">
        <f t="shared" si="4"/>
        <v>718.97</v>
      </c>
      <c r="M17">
        <f t="shared" si="5"/>
        <v>271.07</v>
      </c>
      <c r="N17">
        <f t="shared" si="6"/>
        <v>685.88</v>
      </c>
      <c r="O17">
        <f t="shared" si="7"/>
        <v>1568.3000000000002</v>
      </c>
      <c r="P17">
        <f t="shared" si="8"/>
        <v>956.95</v>
      </c>
    </row>
    <row r="18" spans="1:16" x14ac:dyDescent="0.35">
      <c r="A18">
        <v>194.33</v>
      </c>
      <c r="B18">
        <v>558.80999999999995</v>
      </c>
      <c r="C18">
        <v>571.82000000000005</v>
      </c>
      <c r="D18">
        <v>531.53</v>
      </c>
      <c r="E18">
        <v>485.4</v>
      </c>
      <c r="F18">
        <v>155.53</v>
      </c>
      <c r="G18">
        <v>5468</v>
      </c>
      <c r="H18" t="str">
        <f t="shared" si="1"/>
        <v>5000-6999</v>
      </c>
      <c r="I18">
        <f t="shared" si="2"/>
        <v>2497.42</v>
      </c>
      <c r="J18" s="3">
        <f t="shared" si="3"/>
        <v>0.45673372348207758</v>
      </c>
      <c r="K18">
        <f t="shared" si="0"/>
        <v>753.14</v>
      </c>
      <c r="L18">
        <f t="shared" si="4"/>
        <v>1103.3499999999999</v>
      </c>
      <c r="M18">
        <f t="shared" si="5"/>
        <v>155.53</v>
      </c>
      <c r="N18">
        <f t="shared" si="6"/>
        <v>485.4</v>
      </c>
      <c r="O18">
        <f t="shared" si="7"/>
        <v>1856.4899999999998</v>
      </c>
      <c r="P18">
        <f t="shared" si="8"/>
        <v>640.92999999999995</v>
      </c>
    </row>
    <row r="19" spans="1:16" x14ac:dyDescent="0.35">
      <c r="A19">
        <v>955.97</v>
      </c>
      <c r="B19">
        <v>890.21</v>
      </c>
      <c r="C19">
        <v>343.96</v>
      </c>
      <c r="D19">
        <v>609.33000000000004</v>
      </c>
      <c r="E19">
        <v>62.99</v>
      </c>
      <c r="F19">
        <v>307.14</v>
      </c>
      <c r="G19">
        <v>7937</v>
      </c>
      <c r="H19" t="str">
        <f t="shared" si="1"/>
        <v>7000-8999</v>
      </c>
      <c r="I19">
        <f t="shared" si="2"/>
        <v>3169.5999999999995</v>
      </c>
      <c r="J19" s="3">
        <f t="shared" si="3"/>
        <v>0.39934484061988151</v>
      </c>
      <c r="K19">
        <f t="shared" si="0"/>
        <v>1846.18</v>
      </c>
      <c r="L19">
        <f t="shared" si="4"/>
        <v>953.29</v>
      </c>
      <c r="M19">
        <f t="shared" si="5"/>
        <v>307.14</v>
      </c>
      <c r="N19">
        <f t="shared" si="6"/>
        <v>62.99</v>
      </c>
      <c r="O19">
        <f t="shared" si="7"/>
        <v>2799.4700000000003</v>
      </c>
      <c r="P19">
        <f t="shared" si="8"/>
        <v>370.13</v>
      </c>
    </row>
    <row r="20" spans="1:16" x14ac:dyDescent="0.35">
      <c r="A20">
        <v>974.14</v>
      </c>
      <c r="B20">
        <v>188.8</v>
      </c>
      <c r="C20">
        <v>606.22</v>
      </c>
      <c r="D20">
        <v>74.83</v>
      </c>
      <c r="E20">
        <v>820.43</v>
      </c>
      <c r="F20">
        <v>408.68</v>
      </c>
      <c r="G20">
        <v>6228</v>
      </c>
      <c r="H20" t="str">
        <f t="shared" si="1"/>
        <v>5000-6999</v>
      </c>
      <c r="I20">
        <f t="shared" si="2"/>
        <v>3073.1</v>
      </c>
      <c r="J20" s="3">
        <f t="shared" si="3"/>
        <v>0.4934328837508028</v>
      </c>
      <c r="K20">
        <f t="shared" si="0"/>
        <v>1162.94</v>
      </c>
      <c r="L20">
        <f t="shared" si="4"/>
        <v>681.05000000000007</v>
      </c>
      <c r="M20">
        <f t="shared" si="5"/>
        <v>408.68</v>
      </c>
      <c r="N20">
        <f t="shared" si="6"/>
        <v>820.43</v>
      </c>
      <c r="O20">
        <f t="shared" si="7"/>
        <v>1843.9900000000002</v>
      </c>
      <c r="P20">
        <f t="shared" si="8"/>
        <v>1229.1099999999999</v>
      </c>
    </row>
    <row r="21" spans="1:16" x14ac:dyDescent="0.35">
      <c r="A21">
        <v>93.47</v>
      </c>
      <c r="B21">
        <v>889.82</v>
      </c>
      <c r="C21">
        <v>702.23</v>
      </c>
      <c r="D21">
        <v>31.38</v>
      </c>
      <c r="E21">
        <v>178.92</v>
      </c>
      <c r="F21">
        <v>710.91</v>
      </c>
      <c r="G21">
        <v>7026</v>
      </c>
      <c r="H21" t="str">
        <f t="shared" si="1"/>
        <v>7000-8999</v>
      </c>
      <c r="I21">
        <f t="shared" si="2"/>
        <v>2606.73</v>
      </c>
      <c r="J21" s="3">
        <f t="shared" si="3"/>
        <v>0.3710119555935098</v>
      </c>
      <c r="K21">
        <f t="shared" si="0"/>
        <v>983.29000000000008</v>
      </c>
      <c r="L21">
        <f t="shared" si="4"/>
        <v>733.61</v>
      </c>
      <c r="M21">
        <f t="shared" si="5"/>
        <v>710.91</v>
      </c>
      <c r="N21">
        <f t="shared" si="6"/>
        <v>178.92</v>
      </c>
      <c r="O21">
        <f t="shared" si="7"/>
        <v>1716.9</v>
      </c>
      <c r="P21">
        <f t="shared" si="8"/>
        <v>889.82999999999993</v>
      </c>
    </row>
    <row r="22" spans="1:16" x14ac:dyDescent="0.35">
      <c r="A22">
        <v>853.65</v>
      </c>
      <c r="B22">
        <v>958.04</v>
      </c>
      <c r="C22">
        <v>810.77</v>
      </c>
      <c r="D22">
        <v>347.92</v>
      </c>
      <c r="E22">
        <v>120.96</v>
      </c>
      <c r="F22">
        <v>38.61</v>
      </c>
      <c r="G22">
        <v>6966</v>
      </c>
      <c r="H22" t="str">
        <f t="shared" si="1"/>
        <v>5000-6999</v>
      </c>
      <c r="I22">
        <f t="shared" si="2"/>
        <v>3129.9500000000003</v>
      </c>
      <c r="J22" s="3">
        <f t="shared" si="3"/>
        <v>0.44931811656617859</v>
      </c>
      <c r="K22">
        <f t="shared" si="0"/>
        <v>1811.69</v>
      </c>
      <c r="L22">
        <f t="shared" si="4"/>
        <v>1158.69</v>
      </c>
      <c r="M22">
        <f t="shared" si="5"/>
        <v>38.61</v>
      </c>
      <c r="N22">
        <f t="shared" si="6"/>
        <v>120.96</v>
      </c>
      <c r="O22">
        <f t="shared" si="7"/>
        <v>2970.38</v>
      </c>
      <c r="P22">
        <f t="shared" si="8"/>
        <v>159.57</v>
      </c>
    </row>
    <row r="23" spans="1:16" x14ac:dyDescent="0.35">
      <c r="A23">
        <v>79.78</v>
      </c>
      <c r="B23">
        <v>798.01</v>
      </c>
      <c r="C23">
        <v>881.29</v>
      </c>
      <c r="D23">
        <v>252.3</v>
      </c>
      <c r="E23">
        <v>680.24</v>
      </c>
      <c r="F23">
        <v>399.95</v>
      </c>
      <c r="G23">
        <v>6929</v>
      </c>
      <c r="H23" t="str">
        <f t="shared" si="1"/>
        <v>5000-6999</v>
      </c>
      <c r="I23">
        <f t="shared" si="2"/>
        <v>3091.5699999999997</v>
      </c>
      <c r="J23" s="3">
        <f t="shared" si="3"/>
        <v>0.4461783807187184</v>
      </c>
      <c r="K23">
        <f t="shared" si="0"/>
        <v>877.79</v>
      </c>
      <c r="L23">
        <f t="shared" si="4"/>
        <v>1133.5899999999999</v>
      </c>
      <c r="M23">
        <f t="shared" si="5"/>
        <v>399.95</v>
      </c>
      <c r="N23">
        <f t="shared" si="6"/>
        <v>680.24</v>
      </c>
      <c r="O23">
        <f t="shared" si="7"/>
        <v>2011.3799999999999</v>
      </c>
      <c r="P23">
        <f t="shared" si="8"/>
        <v>1080.19</v>
      </c>
    </row>
    <row r="24" spans="1:16" x14ac:dyDescent="0.35">
      <c r="A24">
        <v>596.79999999999995</v>
      </c>
      <c r="B24">
        <v>121.5</v>
      </c>
      <c r="C24">
        <v>364.02</v>
      </c>
      <c r="D24">
        <v>145.03</v>
      </c>
      <c r="E24">
        <v>106.09</v>
      </c>
      <c r="F24">
        <v>559.04999999999995</v>
      </c>
      <c r="G24">
        <v>4830</v>
      </c>
      <c r="H24" t="str">
        <f t="shared" si="1"/>
        <v>0-5000</v>
      </c>
      <c r="I24">
        <f t="shared" si="2"/>
        <v>1892.4899999999998</v>
      </c>
      <c r="J24" s="3">
        <f t="shared" si="3"/>
        <v>0.39181987577639749</v>
      </c>
      <c r="K24">
        <f t="shared" si="0"/>
        <v>718.3</v>
      </c>
      <c r="L24">
        <f t="shared" si="4"/>
        <v>509.04999999999995</v>
      </c>
      <c r="M24">
        <f t="shared" si="5"/>
        <v>559.04999999999995</v>
      </c>
      <c r="N24">
        <f t="shared" si="6"/>
        <v>106.09</v>
      </c>
      <c r="O24">
        <f t="shared" si="7"/>
        <v>1227.3499999999999</v>
      </c>
      <c r="P24">
        <f t="shared" si="8"/>
        <v>665.14</v>
      </c>
    </row>
    <row r="25" spans="1:16" x14ac:dyDescent="0.35">
      <c r="A25">
        <v>297.32</v>
      </c>
      <c r="B25">
        <v>168.27</v>
      </c>
      <c r="C25">
        <v>38.43</v>
      </c>
      <c r="D25">
        <v>968.13</v>
      </c>
      <c r="E25">
        <v>238.44</v>
      </c>
      <c r="F25">
        <v>636.41999999999996</v>
      </c>
      <c r="G25">
        <v>6425</v>
      </c>
      <c r="H25" t="str">
        <f t="shared" si="1"/>
        <v>5000-6999</v>
      </c>
      <c r="I25">
        <f t="shared" si="2"/>
        <v>2347.0100000000002</v>
      </c>
      <c r="J25" s="3">
        <f t="shared" si="3"/>
        <v>0.36529338521400784</v>
      </c>
      <c r="K25">
        <f t="shared" si="0"/>
        <v>465.59000000000003</v>
      </c>
      <c r="L25">
        <f t="shared" si="4"/>
        <v>1006.56</v>
      </c>
      <c r="M25">
        <f t="shared" si="5"/>
        <v>636.41999999999996</v>
      </c>
      <c r="N25">
        <f t="shared" si="6"/>
        <v>238.44</v>
      </c>
      <c r="O25">
        <f t="shared" si="7"/>
        <v>1472.15</v>
      </c>
      <c r="P25">
        <f t="shared" si="8"/>
        <v>874.8599999999999</v>
      </c>
    </row>
    <row r="26" spans="1:16" x14ac:dyDescent="0.35">
      <c r="A26">
        <v>189.51</v>
      </c>
      <c r="B26">
        <v>659.44</v>
      </c>
      <c r="C26">
        <v>775.37</v>
      </c>
      <c r="D26">
        <v>895.59</v>
      </c>
      <c r="E26">
        <v>760.58</v>
      </c>
      <c r="F26">
        <v>581.76</v>
      </c>
      <c r="G26">
        <v>9001</v>
      </c>
      <c r="H26" t="str">
        <f t="shared" si="1"/>
        <v>9000+</v>
      </c>
      <c r="I26">
        <f t="shared" si="2"/>
        <v>3862.25</v>
      </c>
      <c r="J26" s="3">
        <f t="shared" si="3"/>
        <v>0.4290912120875458</v>
      </c>
      <c r="K26">
        <f t="shared" si="0"/>
        <v>848.95</v>
      </c>
      <c r="L26">
        <f t="shared" si="4"/>
        <v>1670.96</v>
      </c>
      <c r="M26">
        <f t="shared" si="5"/>
        <v>581.76</v>
      </c>
      <c r="N26">
        <f t="shared" si="6"/>
        <v>760.58</v>
      </c>
      <c r="O26">
        <f t="shared" si="7"/>
        <v>2519.91</v>
      </c>
      <c r="P26">
        <f t="shared" si="8"/>
        <v>1342.3400000000001</v>
      </c>
    </row>
    <row r="27" spans="1:16" x14ac:dyDescent="0.35">
      <c r="A27">
        <v>732.71</v>
      </c>
      <c r="B27">
        <v>585.45000000000005</v>
      </c>
      <c r="C27">
        <v>540.89</v>
      </c>
      <c r="D27">
        <v>695.95</v>
      </c>
      <c r="E27">
        <v>227.02</v>
      </c>
      <c r="F27">
        <v>633.09</v>
      </c>
      <c r="G27">
        <v>8564</v>
      </c>
      <c r="H27" t="str">
        <f t="shared" si="1"/>
        <v>7000-8999</v>
      </c>
      <c r="I27">
        <f t="shared" si="2"/>
        <v>3415.11</v>
      </c>
      <c r="J27" s="3">
        <f t="shared" si="3"/>
        <v>0.39877510509107894</v>
      </c>
      <c r="K27">
        <f t="shared" si="0"/>
        <v>1318.16</v>
      </c>
      <c r="L27">
        <f t="shared" si="4"/>
        <v>1236.8400000000001</v>
      </c>
      <c r="M27">
        <f t="shared" si="5"/>
        <v>633.09</v>
      </c>
      <c r="N27">
        <f t="shared" si="6"/>
        <v>227.02</v>
      </c>
      <c r="O27">
        <f t="shared" si="7"/>
        <v>2555</v>
      </c>
      <c r="P27">
        <f t="shared" si="8"/>
        <v>860.11</v>
      </c>
    </row>
    <row r="28" spans="1:16" x14ac:dyDescent="0.35">
      <c r="A28">
        <v>214.34</v>
      </c>
      <c r="B28">
        <v>283.19</v>
      </c>
      <c r="C28">
        <v>654.88</v>
      </c>
      <c r="D28">
        <v>855.9</v>
      </c>
      <c r="E28">
        <v>0.77</v>
      </c>
      <c r="F28">
        <v>145.27000000000001</v>
      </c>
      <c r="G28">
        <v>5008</v>
      </c>
      <c r="H28" t="str">
        <f t="shared" si="1"/>
        <v>5000-6999</v>
      </c>
      <c r="I28">
        <f t="shared" si="2"/>
        <v>2154.35</v>
      </c>
      <c r="J28" s="3">
        <f t="shared" si="3"/>
        <v>0.43018170926517568</v>
      </c>
      <c r="K28">
        <f t="shared" si="0"/>
        <v>497.53</v>
      </c>
      <c r="L28">
        <f t="shared" si="4"/>
        <v>1510.78</v>
      </c>
      <c r="M28">
        <f t="shared" si="5"/>
        <v>145.27000000000001</v>
      </c>
      <c r="N28">
        <f t="shared" si="6"/>
        <v>0.77</v>
      </c>
      <c r="O28">
        <f t="shared" si="7"/>
        <v>2008.31</v>
      </c>
      <c r="P28">
        <f t="shared" si="8"/>
        <v>146.04000000000002</v>
      </c>
    </row>
    <row r="29" spans="1:16" x14ac:dyDescent="0.35">
      <c r="A29">
        <v>98.83</v>
      </c>
      <c r="B29">
        <v>575.33000000000004</v>
      </c>
      <c r="C29">
        <v>19.940000000000001</v>
      </c>
      <c r="D29">
        <v>800.94</v>
      </c>
      <c r="E29">
        <v>673.3</v>
      </c>
      <c r="F29">
        <v>385.92</v>
      </c>
      <c r="G29">
        <v>6306</v>
      </c>
      <c r="H29" t="str">
        <f t="shared" si="1"/>
        <v>5000-6999</v>
      </c>
      <c r="I29">
        <f t="shared" si="2"/>
        <v>2554.2600000000002</v>
      </c>
      <c r="J29" s="3">
        <f t="shared" si="3"/>
        <v>0.40505233111322553</v>
      </c>
      <c r="K29">
        <f t="shared" si="0"/>
        <v>674.16000000000008</v>
      </c>
      <c r="L29">
        <f t="shared" si="4"/>
        <v>820.88000000000011</v>
      </c>
      <c r="M29">
        <f t="shared" si="5"/>
        <v>385.92</v>
      </c>
      <c r="N29">
        <f t="shared" si="6"/>
        <v>673.3</v>
      </c>
      <c r="O29">
        <f t="shared" si="7"/>
        <v>1495.0400000000002</v>
      </c>
      <c r="P29">
        <f t="shared" si="8"/>
        <v>1059.22</v>
      </c>
    </row>
    <row r="30" spans="1:16" x14ac:dyDescent="0.35">
      <c r="A30">
        <v>179.73</v>
      </c>
      <c r="B30">
        <v>692.17</v>
      </c>
      <c r="C30">
        <v>973.09</v>
      </c>
      <c r="D30">
        <v>580.05999999999995</v>
      </c>
      <c r="E30">
        <v>271.49</v>
      </c>
      <c r="F30">
        <v>129.04</v>
      </c>
      <c r="G30">
        <v>6198</v>
      </c>
      <c r="H30" t="str">
        <f t="shared" si="1"/>
        <v>5000-6999</v>
      </c>
      <c r="I30">
        <f t="shared" si="2"/>
        <v>2825.58</v>
      </c>
      <c r="J30" s="3">
        <f t="shared" si="3"/>
        <v>0.45588576960309773</v>
      </c>
      <c r="K30">
        <f t="shared" si="0"/>
        <v>871.9</v>
      </c>
      <c r="L30">
        <f t="shared" si="4"/>
        <v>1553.15</v>
      </c>
      <c r="M30">
        <f t="shared" si="5"/>
        <v>129.04</v>
      </c>
      <c r="N30">
        <f t="shared" si="6"/>
        <v>271.49</v>
      </c>
      <c r="O30">
        <f t="shared" si="7"/>
        <v>2425.0500000000002</v>
      </c>
      <c r="P30">
        <f t="shared" si="8"/>
        <v>400.53</v>
      </c>
    </row>
    <row r="31" spans="1:16" x14ac:dyDescent="0.35">
      <c r="A31">
        <v>830.84</v>
      </c>
      <c r="B31">
        <v>240.22</v>
      </c>
      <c r="C31">
        <v>303.98</v>
      </c>
      <c r="D31">
        <v>793.12</v>
      </c>
      <c r="E31">
        <v>739.97</v>
      </c>
      <c r="F31">
        <v>430.35</v>
      </c>
      <c r="G31">
        <v>7423</v>
      </c>
      <c r="H31" t="str">
        <f t="shared" si="1"/>
        <v>7000-8999</v>
      </c>
      <c r="I31">
        <f t="shared" si="2"/>
        <v>3338.48</v>
      </c>
      <c r="J31" s="3">
        <f t="shared" si="3"/>
        <v>0.44974808029098745</v>
      </c>
      <c r="K31">
        <f t="shared" si="0"/>
        <v>1071.06</v>
      </c>
      <c r="L31">
        <f t="shared" si="4"/>
        <v>1097.0999999999999</v>
      </c>
      <c r="M31">
        <f t="shared" si="5"/>
        <v>430.35</v>
      </c>
      <c r="N31">
        <f t="shared" si="6"/>
        <v>739.97</v>
      </c>
      <c r="O31">
        <f t="shared" si="7"/>
        <v>2168.16</v>
      </c>
      <c r="P31">
        <f t="shared" si="8"/>
        <v>1170.3200000000002</v>
      </c>
    </row>
    <row r="32" spans="1:16" x14ac:dyDescent="0.35">
      <c r="A32">
        <v>439.57</v>
      </c>
      <c r="B32">
        <v>566.54</v>
      </c>
      <c r="C32">
        <v>184.38</v>
      </c>
      <c r="D32">
        <v>526.25</v>
      </c>
      <c r="E32">
        <v>120.21</v>
      </c>
      <c r="F32">
        <v>269.41000000000003</v>
      </c>
      <c r="G32">
        <v>5399</v>
      </c>
      <c r="H32" t="str">
        <f t="shared" si="1"/>
        <v>5000-6999</v>
      </c>
      <c r="I32">
        <f t="shared" si="2"/>
        <v>2106.3599999999997</v>
      </c>
      <c r="J32" s="3">
        <f t="shared" si="3"/>
        <v>0.39013891461381733</v>
      </c>
      <c r="K32">
        <f t="shared" si="0"/>
        <v>1006.1099999999999</v>
      </c>
      <c r="L32">
        <f t="shared" si="4"/>
        <v>710.63</v>
      </c>
      <c r="M32">
        <f t="shared" si="5"/>
        <v>269.41000000000003</v>
      </c>
      <c r="N32">
        <f t="shared" si="6"/>
        <v>120.21</v>
      </c>
      <c r="O32">
        <f t="shared" si="7"/>
        <v>1716.7399999999998</v>
      </c>
      <c r="P32">
        <f t="shared" si="8"/>
        <v>389.62</v>
      </c>
    </row>
    <row r="33" spans="1:16" x14ac:dyDescent="0.35">
      <c r="A33">
        <v>911.58</v>
      </c>
      <c r="B33">
        <v>319</v>
      </c>
      <c r="C33">
        <v>290.08</v>
      </c>
      <c r="D33">
        <v>316.48</v>
      </c>
      <c r="E33">
        <v>452.77</v>
      </c>
      <c r="F33">
        <v>274.45</v>
      </c>
      <c r="G33">
        <v>5654</v>
      </c>
      <c r="H33" t="str">
        <f t="shared" si="1"/>
        <v>5000-6999</v>
      </c>
      <c r="I33">
        <f t="shared" si="2"/>
        <v>2564.3599999999997</v>
      </c>
      <c r="J33" s="3">
        <f t="shared" si="3"/>
        <v>0.4535479306685532</v>
      </c>
      <c r="K33">
        <f t="shared" si="0"/>
        <v>1230.58</v>
      </c>
      <c r="L33">
        <f t="shared" si="4"/>
        <v>606.55999999999995</v>
      </c>
      <c r="M33">
        <f t="shared" si="5"/>
        <v>274.45</v>
      </c>
      <c r="N33">
        <f t="shared" si="6"/>
        <v>452.77</v>
      </c>
      <c r="O33">
        <f t="shared" si="7"/>
        <v>1837.1399999999999</v>
      </c>
      <c r="P33">
        <f t="shared" si="8"/>
        <v>727.22</v>
      </c>
    </row>
    <row r="34" spans="1:16" x14ac:dyDescent="0.35">
      <c r="A34">
        <v>862.97</v>
      </c>
      <c r="B34">
        <v>656.05</v>
      </c>
      <c r="C34">
        <v>337.34</v>
      </c>
      <c r="D34">
        <v>834.98</v>
      </c>
      <c r="E34">
        <v>827.64</v>
      </c>
      <c r="F34">
        <v>308.37</v>
      </c>
      <c r="G34">
        <v>8512</v>
      </c>
      <c r="H34" t="str">
        <f t="shared" si="1"/>
        <v>7000-8999</v>
      </c>
      <c r="I34">
        <f t="shared" si="2"/>
        <v>3827.35</v>
      </c>
      <c r="J34" s="3">
        <f t="shared" si="3"/>
        <v>0.44964168233082707</v>
      </c>
      <c r="K34">
        <f t="shared" ref="K34:K66" si="9">A34+B34</f>
        <v>1519.02</v>
      </c>
      <c r="L34">
        <f t="shared" si="4"/>
        <v>1172.32</v>
      </c>
      <c r="M34">
        <f t="shared" si="5"/>
        <v>308.37</v>
      </c>
      <c r="N34">
        <f t="shared" si="6"/>
        <v>827.64</v>
      </c>
      <c r="O34">
        <f t="shared" si="7"/>
        <v>2691.34</v>
      </c>
      <c r="P34">
        <f t="shared" si="8"/>
        <v>1136.01</v>
      </c>
    </row>
    <row r="35" spans="1:16" x14ac:dyDescent="0.35">
      <c r="A35">
        <v>707.06</v>
      </c>
      <c r="B35">
        <v>642.66</v>
      </c>
      <c r="C35">
        <v>274.79000000000002</v>
      </c>
      <c r="D35">
        <v>213.33</v>
      </c>
      <c r="E35">
        <v>984.21</v>
      </c>
      <c r="F35">
        <v>481.27</v>
      </c>
      <c r="G35">
        <v>7383</v>
      </c>
      <c r="H35" t="str">
        <f t="shared" si="1"/>
        <v>7000-8999</v>
      </c>
      <c r="I35">
        <f t="shared" si="2"/>
        <v>3303.3199999999997</v>
      </c>
      <c r="J35" s="3">
        <f t="shared" si="3"/>
        <v>0.44742245699580113</v>
      </c>
      <c r="K35">
        <f t="shared" si="9"/>
        <v>1349.7199999999998</v>
      </c>
      <c r="L35">
        <f t="shared" si="4"/>
        <v>488.12</v>
      </c>
      <c r="M35">
        <f t="shared" si="5"/>
        <v>481.27</v>
      </c>
      <c r="N35">
        <f t="shared" si="6"/>
        <v>984.21</v>
      </c>
      <c r="O35">
        <f t="shared" si="7"/>
        <v>1837.8399999999997</v>
      </c>
      <c r="P35">
        <f t="shared" si="8"/>
        <v>1465.48</v>
      </c>
    </row>
    <row r="36" spans="1:16" x14ac:dyDescent="0.35">
      <c r="A36">
        <v>721.5</v>
      </c>
      <c r="B36">
        <v>561.22</v>
      </c>
      <c r="C36">
        <v>528.76</v>
      </c>
      <c r="D36">
        <v>887.1</v>
      </c>
      <c r="E36">
        <v>3.28</v>
      </c>
      <c r="F36">
        <v>450.98</v>
      </c>
      <c r="G36">
        <v>7949</v>
      </c>
      <c r="H36" t="str">
        <f t="shared" si="1"/>
        <v>7000-8999</v>
      </c>
      <c r="I36">
        <f t="shared" si="2"/>
        <v>3152.84</v>
      </c>
      <c r="J36" s="3">
        <f t="shared" si="3"/>
        <v>0.3966335388099132</v>
      </c>
      <c r="K36">
        <f t="shared" si="9"/>
        <v>1282.72</v>
      </c>
      <c r="L36">
        <f t="shared" si="4"/>
        <v>1415.8600000000001</v>
      </c>
      <c r="M36">
        <f t="shared" si="5"/>
        <v>450.98</v>
      </c>
      <c r="N36">
        <f t="shared" si="6"/>
        <v>3.28</v>
      </c>
      <c r="O36">
        <f t="shared" si="7"/>
        <v>2698.58</v>
      </c>
      <c r="P36">
        <f t="shared" si="8"/>
        <v>454.26</v>
      </c>
    </row>
    <row r="37" spans="1:16" x14ac:dyDescent="0.35">
      <c r="A37">
        <v>909.22</v>
      </c>
      <c r="B37">
        <v>28.38</v>
      </c>
      <c r="C37">
        <v>600.33000000000004</v>
      </c>
      <c r="D37">
        <v>758</v>
      </c>
      <c r="E37">
        <v>872.4</v>
      </c>
      <c r="F37">
        <v>306.31</v>
      </c>
      <c r="G37">
        <v>6987</v>
      </c>
      <c r="H37" t="str">
        <f t="shared" si="1"/>
        <v>5000-6999</v>
      </c>
      <c r="I37">
        <f t="shared" si="2"/>
        <v>3474.6400000000003</v>
      </c>
      <c r="J37" s="3">
        <f t="shared" si="3"/>
        <v>0.49730070130241882</v>
      </c>
      <c r="K37">
        <f t="shared" si="9"/>
        <v>937.6</v>
      </c>
      <c r="L37">
        <f t="shared" si="4"/>
        <v>1358.33</v>
      </c>
      <c r="M37">
        <f t="shared" si="5"/>
        <v>306.31</v>
      </c>
      <c r="N37">
        <f t="shared" si="6"/>
        <v>872.4</v>
      </c>
      <c r="O37">
        <f t="shared" si="7"/>
        <v>2295.9299999999998</v>
      </c>
      <c r="P37">
        <f t="shared" si="8"/>
        <v>1178.71</v>
      </c>
    </row>
    <row r="38" spans="1:16" x14ac:dyDescent="0.35">
      <c r="A38">
        <v>165.26</v>
      </c>
      <c r="B38">
        <v>517.76</v>
      </c>
      <c r="C38">
        <v>172.03</v>
      </c>
      <c r="D38">
        <v>170.31</v>
      </c>
      <c r="E38">
        <v>169.94</v>
      </c>
      <c r="F38">
        <v>206.04</v>
      </c>
      <c r="G38">
        <v>3600</v>
      </c>
      <c r="H38" t="str">
        <f t="shared" si="1"/>
        <v>0-5000</v>
      </c>
      <c r="I38">
        <f t="shared" si="2"/>
        <v>1401.34</v>
      </c>
      <c r="J38" s="3">
        <f t="shared" si="3"/>
        <v>0.38926111111111111</v>
      </c>
      <c r="K38">
        <f t="shared" si="9"/>
        <v>683.02</v>
      </c>
      <c r="L38">
        <f t="shared" si="4"/>
        <v>342.34000000000003</v>
      </c>
      <c r="M38">
        <f t="shared" si="5"/>
        <v>206.04</v>
      </c>
      <c r="N38">
        <f t="shared" si="6"/>
        <v>169.94</v>
      </c>
      <c r="O38">
        <f t="shared" si="7"/>
        <v>1025.3600000000001</v>
      </c>
      <c r="P38">
        <f t="shared" si="8"/>
        <v>375.98</v>
      </c>
    </row>
    <row r="39" spans="1:16" x14ac:dyDescent="0.35">
      <c r="A39">
        <v>552.49</v>
      </c>
      <c r="B39">
        <v>6.01</v>
      </c>
      <c r="C39">
        <v>69.069999999999993</v>
      </c>
      <c r="D39">
        <v>304.14999999999998</v>
      </c>
      <c r="E39">
        <v>52.77</v>
      </c>
      <c r="F39">
        <v>667.78</v>
      </c>
      <c r="G39">
        <v>4720</v>
      </c>
      <c r="H39" t="str">
        <f t="shared" si="1"/>
        <v>0-5000</v>
      </c>
      <c r="I39">
        <f t="shared" si="2"/>
        <v>1652.27</v>
      </c>
      <c r="J39" s="3">
        <f t="shared" si="3"/>
        <v>0.35005720338983048</v>
      </c>
      <c r="K39">
        <f t="shared" si="9"/>
        <v>558.5</v>
      </c>
      <c r="L39">
        <f t="shared" si="4"/>
        <v>373.21999999999997</v>
      </c>
      <c r="M39">
        <f t="shared" si="5"/>
        <v>667.78</v>
      </c>
      <c r="N39">
        <f t="shared" si="6"/>
        <v>52.77</v>
      </c>
      <c r="O39">
        <f t="shared" si="7"/>
        <v>931.72</v>
      </c>
      <c r="P39">
        <f t="shared" si="8"/>
        <v>720.55</v>
      </c>
    </row>
    <row r="40" spans="1:16" x14ac:dyDescent="0.35">
      <c r="A40">
        <v>922.68</v>
      </c>
      <c r="B40">
        <v>467.72</v>
      </c>
      <c r="C40">
        <v>871.4</v>
      </c>
      <c r="D40">
        <v>664.95</v>
      </c>
      <c r="E40">
        <v>827.6</v>
      </c>
      <c r="F40">
        <v>385.17</v>
      </c>
      <c r="G40">
        <v>8744</v>
      </c>
      <c r="H40" t="str">
        <f t="shared" si="1"/>
        <v>7000-8999</v>
      </c>
      <c r="I40">
        <f t="shared" si="2"/>
        <v>4139.5199999999995</v>
      </c>
      <c r="J40" s="3">
        <f t="shared" si="3"/>
        <v>0.47341262580054888</v>
      </c>
      <c r="K40">
        <f t="shared" si="9"/>
        <v>1390.4</v>
      </c>
      <c r="L40">
        <f t="shared" si="4"/>
        <v>1536.35</v>
      </c>
      <c r="M40">
        <f t="shared" si="5"/>
        <v>385.17</v>
      </c>
      <c r="N40">
        <f t="shared" si="6"/>
        <v>827.6</v>
      </c>
      <c r="O40">
        <f t="shared" si="7"/>
        <v>2926.75</v>
      </c>
      <c r="P40">
        <f t="shared" si="8"/>
        <v>1212.77</v>
      </c>
    </row>
    <row r="41" spans="1:16" x14ac:dyDescent="0.35">
      <c r="A41">
        <v>584.53</v>
      </c>
      <c r="B41">
        <v>299.73</v>
      </c>
      <c r="C41">
        <v>831.96</v>
      </c>
      <c r="D41">
        <v>573.63</v>
      </c>
      <c r="E41">
        <v>898.26</v>
      </c>
      <c r="F41">
        <v>452.69</v>
      </c>
      <c r="G41">
        <v>7636</v>
      </c>
      <c r="H41" t="str">
        <f t="shared" si="1"/>
        <v>7000-8999</v>
      </c>
      <c r="I41">
        <f t="shared" si="2"/>
        <v>3640.7999999999997</v>
      </c>
      <c r="J41" s="3">
        <f t="shared" si="3"/>
        <v>0.4767941330539549</v>
      </c>
      <c r="K41">
        <f t="shared" si="9"/>
        <v>884.26</v>
      </c>
      <c r="L41">
        <f t="shared" si="4"/>
        <v>1405.5900000000001</v>
      </c>
      <c r="M41">
        <f t="shared" si="5"/>
        <v>452.69</v>
      </c>
      <c r="N41">
        <f t="shared" si="6"/>
        <v>898.26</v>
      </c>
      <c r="O41">
        <f t="shared" si="7"/>
        <v>2289.8500000000004</v>
      </c>
      <c r="P41">
        <f t="shared" si="8"/>
        <v>1350.95</v>
      </c>
    </row>
    <row r="42" spans="1:16" x14ac:dyDescent="0.35">
      <c r="A42">
        <v>126.3</v>
      </c>
      <c r="B42">
        <v>89.18</v>
      </c>
      <c r="C42">
        <v>351.92</v>
      </c>
      <c r="D42">
        <v>35.43</v>
      </c>
      <c r="E42">
        <v>547.99</v>
      </c>
      <c r="F42">
        <v>923.44</v>
      </c>
      <c r="G42">
        <v>5487</v>
      </c>
      <c r="H42" t="str">
        <f t="shared" si="1"/>
        <v>5000-6999</v>
      </c>
      <c r="I42">
        <f t="shared" si="2"/>
        <v>2074.2600000000002</v>
      </c>
      <c r="J42" s="3">
        <f t="shared" si="3"/>
        <v>0.37803171131765995</v>
      </c>
      <c r="K42">
        <f t="shared" si="9"/>
        <v>215.48000000000002</v>
      </c>
      <c r="L42">
        <f t="shared" si="4"/>
        <v>387.35</v>
      </c>
      <c r="M42">
        <f t="shared" si="5"/>
        <v>923.44</v>
      </c>
      <c r="N42">
        <f t="shared" si="6"/>
        <v>547.99</v>
      </c>
      <c r="O42">
        <f t="shared" si="7"/>
        <v>602.83000000000004</v>
      </c>
      <c r="P42">
        <f t="shared" si="8"/>
        <v>1471.43</v>
      </c>
    </row>
    <row r="43" spans="1:16" x14ac:dyDescent="0.35">
      <c r="A43">
        <v>766.86</v>
      </c>
      <c r="B43">
        <v>164.18</v>
      </c>
      <c r="C43">
        <v>72.95</v>
      </c>
      <c r="D43">
        <v>471.67</v>
      </c>
      <c r="E43">
        <v>959.81</v>
      </c>
      <c r="F43">
        <v>720.36</v>
      </c>
      <c r="G43">
        <v>7316</v>
      </c>
      <c r="H43" t="str">
        <f t="shared" si="1"/>
        <v>7000-8999</v>
      </c>
      <c r="I43">
        <f t="shared" si="2"/>
        <v>3155.8300000000004</v>
      </c>
      <c r="J43" s="3">
        <f t="shared" si="3"/>
        <v>0.43136003280481144</v>
      </c>
      <c r="K43">
        <f t="shared" si="9"/>
        <v>931.04</v>
      </c>
      <c r="L43">
        <f t="shared" si="4"/>
        <v>544.62</v>
      </c>
      <c r="M43">
        <f t="shared" si="5"/>
        <v>720.36</v>
      </c>
      <c r="N43">
        <f t="shared" si="6"/>
        <v>959.81</v>
      </c>
      <c r="O43">
        <f t="shared" si="7"/>
        <v>1475.6599999999999</v>
      </c>
      <c r="P43">
        <f t="shared" si="8"/>
        <v>1680.17</v>
      </c>
    </row>
    <row r="44" spans="1:16" x14ac:dyDescent="0.35">
      <c r="A44">
        <v>532.28</v>
      </c>
      <c r="B44">
        <v>795.59</v>
      </c>
      <c r="C44">
        <v>192.91</v>
      </c>
      <c r="D44">
        <v>298.49</v>
      </c>
      <c r="E44">
        <v>836</v>
      </c>
      <c r="F44">
        <v>825.6</v>
      </c>
      <c r="G44">
        <v>8792</v>
      </c>
      <c r="H44" t="str">
        <f t="shared" si="1"/>
        <v>7000-8999</v>
      </c>
      <c r="I44">
        <f t="shared" si="2"/>
        <v>3480.87</v>
      </c>
      <c r="J44" s="3">
        <f t="shared" si="3"/>
        <v>0.39591333030027298</v>
      </c>
      <c r="K44">
        <f t="shared" si="9"/>
        <v>1327.87</v>
      </c>
      <c r="L44">
        <f t="shared" si="4"/>
        <v>491.4</v>
      </c>
      <c r="M44">
        <f t="shared" si="5"/>
        <v>825.6</v>
      </c>
      <c r="N44">
        <f t="shared" si="6"/>
        <v>836</v>
      </c>
      <c r="O44">
        <f t="shared" si="7"/>
        <v>1819.27</v>
      </c>
      <c r="P44">
        <f t="shared" si="8"/>
        <v>1661.6</v>
      </c>
    </row>
    <row r="45" spans="1:16" x14ac:dyDescent="0.35">
      <c r="A45">
        <v>573.64</v>
      </c>
      <c r="B45">
        <v>196.64</v>
      </c>
      <c r="C45">
        <v>802.07</v>
      </c>
      <c r="D45">
        <v>109.31</v>
      </c>
      <c r="E45">
        <v>351.06</v>
      </c>
      <c r="F45">
        <v>902.89</v>
      </c>
      <c r="G45">
        <v>7236</v>
      </c>
      <c r="H45" t="str">
        <f t="shared" si="1"/>
        <v>7000-8999</v>
      </c>
      <c r="I45">
        <f t="shared" si="2"/>
        <v>2935.6099999999997</v>
      </c>
      <c r="J45" s="3">
        <f t="shared" si="3"/>
        <v>0.40569513543394137</v>
      </c>
      <c r="K45">
        <f t="shared" si="9"/>
        <v>770.28</v>
      </c>
      <c r="L45">
        <f t="shared" si="4"/>
        <v>911.38000000000011</v>
      </c>
      <c r="M45">
        <f t="shared" si="5"/>
        <v>902.89</v>
      </c>
      <c r="N45">
        <f t="shared" si="6"/>
        <v>351.06</v>
      </c>
      <c r="O45">
        <f t="shared" si="7"/>
        <v>1681.66</v>
      </c>
      <c r="P45">
        <f t="shared" si="8"/>
        <v>1253.95</v>
      </c>
    </row>
    <row r="46" spans="1:16" x14ac:dyDescent="0.35">
      <c r="A46">
        <v>327.24</v>
      </c>
      <c r="B46">
        <v>910.57</v>
      </c>
      <c r="C46">
        <v>942.83</v>
      </c>
      <c r="D46">
        <v>32.520000000000003</v>
      </c>
      <c r="E46">
        <v>846.53</v>
      </c>
      <c r="F46">
        <v>57.44</v>
      </c>
      <c r="G46">
        <v>6136</v>
      </c>
      <c r="H46" t="str">
        <f t="shared" si="1"/>
        <v>5000-6999</v>
      </c>
      <c r="I46">
        <f t="shared" si="2"/>
        <v>3117.1299999999997</v>
      </c>
      <c r="J46" s="3">
        <f t="shared" si="3"/>
        <v>0.50800684485006509</v>
      </c>
      <c r="K46">
        <f t="shared" si="9"/>
        <v>1237.81</v>
      </c>
      <c r="L46">
        <f t="shared" si="4"/>
        <v>975.35</v>
      </c>
      <c r="M46">
        <f t="shared" si="5"/>
        <v>57.44</v>
      </c>
      <c r="N46">
        <f t="shared" si="6"/>
        <v>846.53</v>
      </c>
      <c r="O46">
        <f t="shared" si="7"/>
        <v>2213.16</v>
      </c>
      <c r="P46">
        <f t="shared" si="8"/>
        <v>903.97</v>
      </c>
    </row>
    <row r="47" spans="1:16" x14ac:dyDescent="0.35">
      <c r="A47">
        <v>748.8</v>
      </c>
      <c r="B47">
        <v>526.25</v>
      </c>
      <c r="C47">
        <v>144.97999999999999</v>
      </c>
      <c r="D47">
        <v>624.03</v>
      </c>
      <c r="E47">
        <v>117.05</v>
      </c>
      <c r="F47">
        <v>987.58</v>
      </c>
      <c r="G47">
        <v>8943</v>
      </c>
      <c r="H47" t="str">
        <f t="shared" si="1"/>
        <v>7000-8999</v>
      </c>
      <c r="I47">
        <f t="shared" si="2"/>
        <v>3148.69</v>
      </c>
      <c r="J47" s="3">
        <f t="shared" si="3"/>
        <v>0.35208431175220845</v>
      </c>
      <c r="K47">
        <f t="shared" si="9"/>
        <v>1275.05</v>
      </c>
      <c r="L47">
        <f t="shared" si="4"/>
        <v>769.01</v>
      </c>
      <c r="M47">
        <f t="shared" si="5"/>
        <v>987.58</v>
      </c>
      <c r="N47">
        <f t="shared" si="6"/>
        <v>117.05</v>
      </c>
      <c r="O47">
        <f t="shared" si="7"/>
        <v>2044.06</v>
      </c>
      <c r="P47">
        <f t="shared" si="8"/>
        <v>1104.6300000000001</v>
      </c>
    </row>
    <row r="48" spans="1:16" x14ac:dyDescent="0.35">
      <c r="A48">
        <v>847.61</v>
      </c>
      <c r="B48">
        <v>700.94</v>
      </c>
      <c r="C48">
        <v>349.72</v>
      </c>
      <c r="D48">
        <v>155.25</v>
      </c>
      <c r="E48">
        <v>811.17</v>
      </c>
      <c r="F48">
        <v>170.85</v>
      </c>
      <c r="G48">
        <v>6356</v>
      </c>
      <c r="H48" t="str">
        <f t="shared" si="1"/>
        <v>5000-6999</v>
      </c>
      <c r="I48">
        <f t="shared" si="2"/>
        <v>3035.5400000000004</v>
      </c>
      <c r="J48" s="3">
        <f t="shared" si="3"/>
        <v>0.47758653241032101</v>
      </c>
      <c r="K48">
        <f t="shared" si="9"/>
        <v>1548.5500000000002</v>
      </c>
      <c r="L48">
        <f t="shared" si="4"/>
        <v>504.97</v>
      </c>
      <c r="M48">
        <f t="shared" si="5"/>
        <v>170.85</v>
      </c>
      <c r="N48">
        <f t="shared" si="6"/>
        <v>811.17</v>
      </c>
      <c r="O48">
        <f t="shared" si="7"/>
        <v>2053.5200000000004</v>
      </c>
      <c r="P48">
        <f t="shared" si="8"/>
        <v>982.02</v>
      </c>
    </row>
    <row r="49" spans="1:16" x14ac:dyDescent="0.35">
      <c r="A49">
        <v>357.67</v>
      </c>
      <c r="B49">
        <v>945.38</v>
      </c>
      <c r="C49">
        <v>924.43</v>
      </c>
      <c r="D49">
        <v>586.16999999999996</v>
      </c>
      <c r="E49">
        <v>868.45</v>
      </c>
      <c r="F49">
        <v>85.29</v>
      </c>
      <c r="G49">
        <v>7806</v>
      </c>
      <c r="H49" t="str">
        <f t="shared" si="1"/>
        <v>7000-8999</v>
      </c>
      <c r="I49">
        <f t="shared" si="2"/>
        <v>3767.3900000000003</v>
      </c>
      <c r="J49" s="3">
        <f t="shared" si="3"/>
        <v>0.48262746605175511</v>
      </c>
      <c r="K49">
        <f t="shared" si="9"/>
        <v>1303.05</v>
      </c>
      <c r="L49">
        <f t="shared" si="4"/>
        <v>1510.6</v>
      </c>
      <c r="M49">
        <f t="shared" si="5"/>
        <v>85.29</v>
      </c>
      <c r="N49">
        <f t="shared" si="6"/>
        <v>868.45</v>
      </c>
      <c r="O49">
        <f t="shared" si="7"/>
        <v>2813.6499999999996</v>
      </c>
      <c r="P49">
        <f t="shared" si="8"/>
        <v>953.74</v>
      </c>
    </row>
    <row r="50" spans="1:16" x14ac:dyDescent="0.35">
      <c r="A50">
        <v>962.92</v>
      </c>
      <c r="B50">
        <v>86.72</v>
      </c>
      <c r="C50">
        <v>576.72</v>
      </c>
      <c r="D50">
        <v>276.39</v>
      </c>
      <c r="E50">
        <v>916.96</v>
      </c>
      <c r="F50">
        <v>328.88</v>
      </c>
      <c r="G50">
        <v>6153</v>
      </c>
      <c r="H50" t="str">
        <f t="shared" si="1"/>
        <v>5000-6999</v>
      </c>
      <c r="I50">
        <f t="shared" si="2"/>
        <v>3148.59</v>
      </c>
      <c r="J50" s="3">
        <f t="shared" si="3"/>
        <v>0.51171623598244764</v>
      </c>
      <c r="K50">
        <f t="shared" si="9"/>
        <v>1049.6399999999999</v>
      </c>
      <c r="L50">
        <f t="shared" si="4"/>
        <v>853.11</v>
      </c>
      <c r="M50">
        <f t="shared" si="5"/>
        <v>328.88</v>
      </c>
      <c r="N50">
        <f t="shared" si="6"/>
        <v>916.96</v>
      </c>
      <c r="O50">
        <f t="shared" si="7"/>
        <v>1902.75</v>
      </c>
      <c r="P50">
        <f t="shared" si="8"/>
        <v>1245.8400000000001</v>
      </c>
    </row>
    <row r="51" spans="1:16" x14ac:dyDescent="0.35">
      <c r="A51">
        <v>327.43</v>
      </c>
      <c r="B51">
        <v>325.08999999999997</v>
      </c>
      <c r="C51">
        <v>852.14</v>
      </c>
      <c r="D51">
        <v>786.06</v>
      </c>
      <c r="E51">
        <v>11.18</v>
      </c>
      <c r="F51">
        <v>483.1</v>
      </c>
      <c r="G51">
        <v>6809</v>
      </c>
      <c r="H51" t="str">
        <f t="shared" si="1"/>
        <v>5000-6999</v>
      </c>
      <c r="I51">
        <f t="shared" si="2"/>
        <v>2784.9999999999995</v>
      </c>
      <c r="J51" s="3">
        <f t="shared" si="3"/>
        <v>0.40901747686884998</v>
      </c>
      <c r="K51">
        <f t="shared" si="9"/>
        <v>652.52</v>
      </c>
      <c r="L51">
        <f t="shared" si="4"/>
        <v>1638.1999999999998</v>
      </c>
      <c r="M51">
        <f t="shared" si="5"/>
        <v>483.1</v>
      </c>
      <c r="N51">
        <f t="shared" si="6"/>
        <v>11.18</v>
      </c>
      <c r="O51">
        <f t="shared" si="7"/>
        <v>2290.7199999999998</v>
      </c>
      <c r="P51">
        <f t="shared" si="8"/>
        <v>494.28000000000003</v>
      </c>
    </row>
    <row r="52" spans="1:16" x14ac:dyDescent="0.35">
      <c r="A52">
        <v>637.84</v>
      </c>
      <c r="B52">
        <v>191.38</v>
      </c>
      <c r="C52">
        <v>629.57000000000005</v>
      </c>
      <c r="D52">
        <v>470.89</v>
      </c>
      <c r="E52">
        <v>241.79</v>
      </c>
      <c r="F52">
        <v>270.87</v>
      </c>
      <c r="G52">
        <v>5356</v>
      </c>
      <c r="H52" t="str">
        <f t="shared" si="1"/>
        <v>5000-6999</v>
      </c>
      <c r="I52">
        <f t="shared" si="2"/>
        <v>2442.3399999999997</v>
      </c>
      <c r="J52" s="3">
        <f t="shared" si="3"/>
        <v>0.45600074682598951</v>
      </c>
      <c r="K52">
        <f t="shared" si="9"/>
        <v>829.22</v>
      </c>
      <c r="L52">
        <f t="shared" si="4"/>
        <v>1100.46</v>
      </c>
      <c r="M52">
        <f t="shared" si="5"/>
        <v>270.87</v>
      </c>
      <c r="N52">
        <f t="shared" si="6"/>
        <v>241.79</v>
      </c>
      <c r="O52">
        <f t="shared" si="7"/>
        <v>1929.68</v>
      </c>
      <c r="P52">
        <f t="shared" si="8"/>
        <v>512.66</v>
      </c>
    </row>
    <row r="53" spans="1:16" x14ac:dyDescent="0.35">
      <c r="A53">
        <v>800.5</v>
      </c>
      <c r="B53">
        <v>358.92</v>
      </c>
      <c r="C53">
        <v>982.04</v>
      </c>
      <c r="D53">
        <v>192.2</v>
      </c>
      <c r="E53">
        <v>246.33</v>
      </c>
      <c r="F53">
        <v>64.39</v>
      </c>
      <c r="G53">
        <v>5182</v>
      </c>
      <c r="H53" t="str">
        <f t="shared" si="1"/>
        <v>5000-6999</v>
      </c>
      <c r="I53">
        <f t="shared" si="2"/>
        <v>2644.3799999999997</v>
      </c>
      <c r="J53" s="3">
        <f t="shared" si="3"/>
        <v>0.51030104206869931</v>
      </c>
      <c r="K53">
        <f t="shared" si="9"/>
        <v>1159.42</v>
      </c>
      <c r="L53">
        <f t="shared" si="4"/>
        <v>1174.24</v>
      </c>
      <c r="M53">
        <f t="shared" si="5"/>
        <v>64.39</v>
      </c>
      <c r="N53">
        <f t="shared" si="6"/>
        <v>246.33</v>
      </c>
      <c r="O53">
        <f t="shared" si="7"/>
        <v>2333.66</v>
      </c>
      <c r="P53">
        <f t="shared" si="8"/>
        <v>310.72000000000003</v>
      </c>
    </row>
    <row r="54" spans="1:16" x14ac:dyDescent="0.35">
      <c r="A54">
        <v>297.49</v>
      </c>
      <c r="B54">
        <v>317.83999999999997</v>
      </c>
      <c r="C54">
        <v>449.9</v>
      </c>
      <c r="D54">
        <v>257.88</v>
      </c>
      <c r="E54">
        <v>200.25</v>
      </c>
      <c r="F54">
        <v>311.58999999999997</v>
      </c>
      <c r="G54">
        <v>4373</v>
      </c>
      <c r="H54" t="str">
        <f t="shared" si="1"/>
        <v>0-5000</v>
      </c>
      <c r="I54">
        <f t="shared" si="2"/>
        <v>1834.95</v>
      </c>
      <c r="J54" s="3">
        <f t="shared" si="3"/>
        <v>0.41960896409787335</v>
      </c>
      <c r="K54">
        <f t="shared" si="9"/>
        <v>615.32999999999993</v>
      </c>
      <c r="L54">
        <f t="shared" si="4"/>
        <v>707.78</v>
      </c>
      <c r="M54">
        <f t="shared" si="5"/>
        <v>311.58999999999997</v>
      </c>
      <c r="N54">
        <f t="shared" si="6"/>
        <v>200.25</v>
      </c>
      <c r="O54">
        <f t="shared" si="7"/>
        <v>1323.11</v>
      </c>
      <c r="P54">
        <f t="shared" si="8"/>
        <v>511.84</v>
      </c>
    </row>
    <row r="55" spans="1:16" x14ac:dyDescent="0.35">
      <c r="A55">
        <v>458.15</v>
      </c>
      <c r="B55">
        <v>539.02</v>
      </c>
      <c r="C55">
        <v>394.62</v>
      </c>
      <c r="D55">
        <v>829</v>
      </c>
      <c r="E55">
        <v>522.14</v>
      </c>
      <c r="F55">
        <v>240.13</v>
      </c>
      <c r="G55">
        <v>6779</v>
      </c>
      <c r="H55" t="str">
        <f t="shared" si="1"/>
        <v>5000-6999</v>
      </c>
      <c r="I55">
        <f t="shared" si="2"/>
        <v>2983.06</v>
      </c>
      <c r="J55" s="3">
        <f t="shared" si="3"/>
        <v>0.44004425431479566</v>
      </c>
      <c r="K55">
        <f t="shared" si="9"/>
        <v>997.17</v>
      </c>
      <c r="L55">
        <f t="shared" si="4"/>
        <v>1223.6199999999999</v>
      </c>
      <c r="M55">
        <f t="shared" si="5"/>
        <v>240.13</v>
      </c>
      <c r="N55">
        <f t="shared" si="6"/>
        <v>522.14</v>
      </c>
      <c r="O55">
        <f t="shared" si="7"/>
        <v>2220.79</v>
      </c>
      <c r="P55">
        <f t="shared" si="8"/>
        <v>762.27</v>
      </c>
    </row>
    <row r="56" spans="1:16" x14ac:dyDescent="0.35">
      <c r="A56">
        <v>187.95</v>
      </c>
      <c r="B56">
        <v>912.23</v>
      </c>
      <c r="C56">
        <v>337.43</v>
      </c>
      <c r="D56">
        <v>206.61</v>
      </c>
      <c r="E56">
        <v>47.44</v>
      </c>
      <c r="F56">
        <v>616.45000000000005</v>
      </c>
      <c r="G56">
        <v>6667</v>
      </c>
      <c r="H56" t="str">
        <f t="shared" si="1"/>
        <v>5000-6999</v>
      </c>
      <c r="I56">
        <f t="shared" si="2"/>
        <v>2308.1100000000006</v>
      </c>
      <c r="J56" s="3">
        <f t="shared" si="3"/>
        <v>0.34619919004049804</v>
      </c>
      <c r="K56">
        <f t="shared" si="9"/>
        <v>1100.18</v>
      </c>
      <c r="L56">
        <f t="shared" si="4"/>
        <v>544.04</v>
      </c>
      <c r="M56">
        <f t="shared" si="5"/>
        <v>616.45000000000005</v>
      </c>
      <c r="N56">
        <f t="shared" si="6"/>
        <v>47.44</v>
      </c>
      <c r="O56">
        <f t="shared" si="7"/>
        <v>1644.22</v>
      </c>
      <c r="P56">
        <f t="shared" si="8"/>
        <v>663.8900000000001</v>
      </c>
    </row>
    <row r="57" spans="1:16" x14ac:dyDescent="0.35">
      <c r="A57">
        <v>908.42</v>
      </c>
      <c r="B57">
        <v>417.74</v>
      </c>
      <c r="C57">
        <v>358.1</v>
      </c>
      <c r="D57">
        <v>230.22</v>
      </c>
      <c r="E57">
        <v>654.41999999999996</v>
      </c>
      <c r="F57">
        <v>542.41999999999996</v>
      </c>
      <c r="G57">
        <v>7124</v>
      </c>
      <c r="H57" t="str">
        <f t="shared" si="1"/>
        <v>7000-8999</v>
      </c>
      <c r="I57">
        <f t="shared" si="2"/>
        <v>3111.3199999999997</v>
      </c>
      <c r="J57" s="3">
        <f t="shared" si="3"/>
        <v>0.43673778775968553</v>
      </c>
      <c r="K57">
        <f t="shared" si="9"/>
        <v>1326.1599999999999</v>
      </c>
      <c r="L57">
        <f t="shared" si="4"/>
        <v>588.32000000000005</v>
      </c>
      <c r="M57">
        <f t="shared" si="5"/>
        <v>542.41999999999996</v>
      </c>
      <c r="N57">
        <f t="shared" si="6"/>
        <v>654.41999999999996</v>
      </c>
      <c r="O57">
        <f t="shared" si="7"/>
        <v>1914.48</v>
      </c>
      <c r="P57">
        <f t="shared" si="8"/>
        <v>1196.8399999999999</v>
      </c>
    </row>
    <row r="58" spans="1:16" x14ac:dyDescent="0.35">
      <c r="A58">
        <v>800.14</v>
      </c>
      <c r="B58">
        <v>576.91999999999996</v>
      </c>
      <c r="C58">
        <v>984.33</v>
      </c>
      <c r="D58">
        <v>254.77</v>
      </c>
      <c r="E58">
        <v>285.79000000000002</v>
      </c>
      <c r="F58">
        <v>689.01</v>
      </c>
      <c r="G58">
        <v>8554</v>
      </c>
      <c r="H58" t="str">
        <f t="shared" si="1"/>
        <v>7000-8999</v>
      </c>
      <c r="I58">
        <f t="shared" si="2"/>
        <v>3590.96</v>
      </c>
      <c r="J58" s="3">
        <f t="shared" si="3"/>
        <v>0.41979892447977557</v>
      </c>
      <c r="K58">
        <f t="shared" si="9"/>
        <v>1377.06</v>
      </c>
      <c r="L58">
        <f t="shared" si="4"/>
        <v>1239.1000000000001</v>
      </c>
      <c r="M58">
        <f t="shared" si="5"/>
        <v>689.01</v>
      </c>
      <c r="N58">
        <f t="shared" si="6"/>
        <v>285.79000000000002</v>
      </c>
      <c r="O58">
        <f t="shared" si="7"/>
        <v>2616.16</v>
      </c>
      <c r="P58">
        <f t="shared" si="8"/>
        <v>974.8</v>
      </c>
    </row>
    <row r="59" spans="1:16" x14ac:dyDescent="0.35">
      <c r="A59">
        <v>217.39</v>
      </c>
      <c r="B59">
        <v>533.83000000000004</v>
      </c>
      <c r="C59">
        <v>526.94000000000005</v>
      </c>
      <c r="D59">
        <v>393.81</v>
      </c>
      <c r="E59">
        <v>486.13</v>
      </c>
      <c r="F59">
        <v>390.64</v>
      </c>
      <c r="G59">
        <v>5957</v>
      </c>
      <c r="H59" t="str">
        <f t="shared" si="1"/>
        <v>5000-6999</v>
      </c>
      <c r="I59">
        <f t="shared" si="2"/>
        <v>2548.7399999999998</v>
      </c>
      <c r="J59" s="3">
        <f t="shared" si="3"/>
        <v>0.42785630350847736</v>
      </c>
      <c r="K59">
        <f t="shared" si="9"/>
        <v>751.22</v>
      </c>
      <c r="L59">
        <f t="shared" si="4"/>
        <v>920.75</v>
      </c>
      <c r="M59">
        <f t="shared" si="5"/>
        <v>390.64</v>
      </c>
      <c r="N59">
        <f t="shared" si="6"/>
        <v>486.13</v>
      </c>
      <c r="O59">
        <f t="shared" si="7"/>
        <v>1671.97</v>
      </c>
      <c r="P59">
        <f t="shared" si="8"/>
        <v>876.77</v>
      </c>
    </row>
    <row r="60" spans="1:16" x14ac:dyDescent="0.35">
      <c r="A60">
        <v>236.29</v>
      </c>
      <c r="B60">
        <v>335.11</v>
      </c>
      <c r="C60">
        <v>480.23</v>
      </c>
      <c r="D60">
        <v>555.73</v>
      </c>
      <c r="E60">
        <v>527.03</v>
      </c>
      <c r="F60">
        <v>71.12</v>
      </c>
      <c r="G60">
        <v>4499</v>
      </c>
      <c r="H60" t="str">
        <f t="shared" si="1"/>
        <v>0-5000</v>
      </c>
      <c r="I60">
        <f t="shared" si="2"/>
        <v>2205.5100000000002</v>
      </c>
      <c r="J60" s="3">
        <f t="shared" si="3"/>
        <v>0.4902222716159147</v>
      </c>
      <c r="K60">
        <f t="shared" si="9"/>
        <v>571.4</v>
      </c>
      <c r="L60">
        <f t="shared" si="4"/>
        <v>1035.96</v>
      </c>
      <c r="M60">
        <f t="shared" si="5"/>
        <v>71.12</v>
      </c>
      <c r="N60">
        <f t="shared" si="6"/>
        <v>527.03</v>
      </c>
      <c r="O60">
        <f t="shared" si="7"/>
        <v>1607.3600000000001</v>
      </c>
      <c r="P60">
        <f t="shared" si="8"/>
        <v>598.15</v>
      </c>
    </row>
    <row r="61" spans="1:16" x14ac:dyDescent="0.35">
      <c r="A61">
        <v>966.65</v>
      </c>
      <c r="B61">
        <v>20.64</v>
      </c>
      <c r="C61">
        <v>439.86</v>
      </c>
      <c r="D61">
        <v>496.81</v>
      </c>
      <c r="E61">
        <v>282.27</v>
      </c>
      <c r="F61">
        <v>595.38</v>
      </c>
      <c r="G61">
        <v>6598</v>
      </c>
      <c r="H61" t="str">
        <f t="shared" si="1"/>
        <v>5000-6999</v>
      </c>
      <c r="I61">
        <f t="shared" si="2"/>
        <v>2801.61</v>
      </c>
      <c r="J61" s="3">
        <f t="shared" si="3"/>
        <v>0.42461503485904822</v>
      </c>
      <c r="K61">
        <f t="shared" si="9"/>
        <v>987.29</v>
      </c>
      <c r="L61">
        <f t="shared" si="4"/>
        <v>936.67000000000007</v>
      </c>
      <c r="M61">
        <f t="shared" si="5"/>
        <v>595.38</v>
      </c>
      <c r="N61">
        <f t="shared" si="6"/>
        <v>282.27</v>
      </c>
      <c r="O61">
        <f t="shared" si="7"/>
        <v>1923.96</v>
      </c>
      <c r="P61">
        <f t="shared" si="8"/>
        <v>877.65</v>
      </c>
    </row>
    <row r="62" spans="1:16" x14ac:dyDescent="0.35">
      <c r="A62">
        <v>946.68</v>
      </c>
      <c r="B62">
        <v>429.45</v>
      </c>
      <c r="C62">
        <v>603.51</v>
      </c>
      <c r="D62">
        <v>910.23</v>
      </c>
      <c r="E62">
        <v>479.18</v>
      </c>
      <c r="F62">
        <v>902.26</v>
      </c>
      <c r="G62">
        <v>10543</v>
      </c>
      <c r="H62" t="str">
        <f t="shared" si="1"/>
        <v>9000+</v>
      </c>
      <c r="I62">
        <f t="shared" si="2"/>
        <v>4271.3099999999995</v>
      </c>
      <c r="J62" s="3">
        <f t="shared" si="3"/>
        <v>0.40513231528028071</v>
      </c>
      <c r="K62">
        <f t="shared" si="9"/>
        <v>1376.1299999999999</v>
      </c>
      <c r="L62">
        <f t="shared" si="4"/>
        <v>1513.74</v>
      </c>
      <c r="M62">
        <f t="shared" si="5"/>
        <v>902.26</v>
      </c>
      <c r="N62">
        <f t="shared" si="6"/>
        <v>479.18</v>
      </c>
      <c r="O62">
        <f t="shared" si="7"/>
        <v>2889.87</v>
      </c>
      <c r="P62">
        <f t="shared" si="8"/>
        <v>1381.44</v>
      </c>
    </row>
    <row r="63" spans="1:16" x14ac:dyDescent="0.35">
      <c r="A63">
        <v>480.33</v>
      </c>
      <c r="B63">
        <v>386.61</v>
      </c>
      <c r="C63">
        <v>926.8</v>
      </c>
      <c r="D63">
        <v>901.98</v>
      </c>
      <c r="E63">
        <v>559.91</v>
      </c>
      <c r="F63">
        <v>949.15</v>
      </c>
      <c r="G63">
        <v>10223</v>
      </c>
      <c r="H63" t="str">
        <f t="shared" si="1"/>
        <v>9000+</v>
      </c>
      <c r="I63">
        <f t="shared" si="2"/>
        <v>4204.78</v>
      </c>
      <c r="J63" s="3">
        <f t="shared" si="3"/>
        <v>0.4113058789005184</v>
      </c>
      <c r="K63">
        <f t="shared" si="9"/>
        <v>866.94</v>
      </c>
      <c r="L63">
        <f t="shared" si="4"/>
        <v>1828.78</v>
      </c>
      <c r="M63">
        <f t="shared" si="5"/>
        <v>949.15</v>
      </c>
      <c r="N63">
        <f t="shared" si="6"/>
        <v>559.91</v>
      </c>
      <c r="O63">
        <f t="shared" si="7"/>
        <v>2695.7200000000003</v>
      </c>
      <c r="P63">
        <f t="shared" si="8"/>
        <v>1509.06</v>
      </c>
    </row>
    <row r="64" spans="1:16" x14ac:dyDescent="0.35">
      <c r="A64">
        <v>107.84</v>
      </c>
      <c r="B64">
        <v>373.19</v>
      </c>
      <c r="C64">
        <v>502.84</v>
      </c>
      <c r="D64">
        <v>407.08</v>
      </c>
      <c r="E64">
        <v>628.77</v>
      </c>
      <c r="F64">
        <v>185.25</v>
      </c>
      <c r="G64">
        <v>4593</v>
      </c>
      <c r="H64" t="str">
        <f t="shared" si="1"/>
        <v>0-5000</v>
      </c>
      <c r="I64">
        <f t="shared" si="2"/>
        <v>2204.9699999999998</v>
      </c>
      <c r="J64" s="3">
        <f t="shared" si="3"/>
        <v>0.48007184846505546</v>
      </c>
      <c r="K64">
        <f t="shared" si="9"/>
        <v>481.03</v>
      </c>
      <c r="L64">
        <f t="shared" si="4"/>
        <v>909.92</v>
      </c>
      <c r="M64">
        <f t="shared" si="5"/>
        <v>185.25</v>
      </c>
      <c r="N64">
        <f t="shared" si="6"/>
        <v>628.77</v>
      </c>
      <c r="O64">
        <f t="shared" si="7"/>
        <v>1390.9499999999998</v>
      </c>
      <c r="P64">
        <f t="shared" si="8"/>
        <v>814.02</v>
      </c>
    </row>
    <row r="65" spans="1:16" x14ac:dyDescent="0.35">
      <c r="A65">
        <v>929.58</v>
      </c>
      <c r="B65">
        <v>532.21</v>
      </c>
      <c r="C65">
        <v>736.11</v>
      </c>
      <c r="D65">
        <v>557.15</v>
      </c>
      <c r="E65">
        <v>775.83</v>
      </c>
      <c r="F65">
        <v>206.43</v>
      </c>
      <c r="G65">
        <v>7723</v>
      </c>
      <c r="H65" t="str">
        <f t="shared" si="1"/>
        <v>7000-8999</v>
      </c>
      <c r="I65">
        <f t="shared" si="2"/>
        <v>3737.31</v>
      </c>
      <c r="J65" s="3">
        <f t="shared" si="3"/>
        <v>0.4839194613492166</v>
      </c>
      <c r="K65">
        <f t="shared" si="9"/>
        <v>1461.79</v>
      </c>
      <c r="L65">
        <f t="shared" si="4"/>
        <v>1293.26</v>
      </c>
      <c r="M65">
        <f t="shared" si="5"/>
        <v>206.43</v>
      </c>
      <c r="N65">
        <f t="shared" si="6"/>
        <v>775.83</v>
      </c>
      <c r="O65">
        <f t="shared" si="7"/>
        <v>2755.05</v>
      </c>
      <c r="P65">
        <f t="shared" si="8"/>
        <v>982.26</v>
      </c>
    </row>
    <row r="66" spans="1:16" x14ac:dyDescent="0.35">
      <c r="A66">
        <v>773.82</v>
      </c>
      <c r="B66">
        <v>831.53</v>
      </c>
      <c r="C66">
        <v>960.7</v>
      </c>
      <c r="D66">
        <v>353.72</v>
      </c>
      <c r="E66">
        <v>394.54</v>
      </c>
      <c r="F66">
        <v>192.38</v>
      </c>
      <c r="G66">
        <v>7611</v>
      </c>
      <c r="H66" t="str">
        <f t="shared" si="1"/>
        <v>7000-8999</v>
      </c>
      <c r="I66">
        <f t="shared" si="2"/>
        <v>3506.6900000000005</v>
      </c>
      <c r="J66" s="3">
        <f t="shared" si="3"/>
        <v>0.46073971882801218</v>
      </c>
      <c r="K66">
        <f t="shared" si="9"/>
        <v>1605.35</v>
      </c>
      <c r="L66">
        <f t="shared" si="4"/>
        <v>1314.42</v>
      </c>
      <c r="M66">
        <f t="shared" si="5"/>
        <v>192.38</v>
      </c>
      <c r="N66">
        <f t="shared" si="6"/>
        <v>394.54</v>
      </c>
      <c r="O66">
        <f t="shared" si="7"/>
        <v>2919.77</v>
      </c>
      <c r="P66">
        <f t="shared" si="8"/>
        <v>586.92000000000007</v>
      </c>
    </row>
    <row r="67" spans="1:16" x14ac:dyDescent="0.35">
      <c r="A67">
        <v>367.73</v>
      </c>
      <c r="B67">
        <v>824.44</v>
      </c>
      <c r="C67">
        <v>566.91</v>
      </c>
      <c r="D67">
        <v>767.46</v>
      </c>
      <c r="E67">
        <v>781.79</v>
      </c>
      <c r="F67">
        <v>327.23</v>
      </c>
      <c r="G67">
        <v>8216</v>
      </c>
      <c r="H67" t="str">
        <f t="shared" ref="H67:H130" si="10">IF(G67&lt;5000,"0-5000",IF(G67&lt;7000,"5000-6999",IF(G67&lt;9000,"7000-8999","9000+")))</f>
        <v>7000-8999</v>
      </c>
      <c r="I67">
        <f t="shared" ref="I67:I130" si="11">A67+B67+C67+D67+E67+F67</f>
        <v>3635.56</v>
      </c>
      <c r="J67" s="3">
        <f t="shared" ref="J67:J130" si="12">I67/G67</f>
        <v>0.44249756572541382</v>
      </c>
      <c r="K67">
        <f t="shared" ref="K67:K130" si="13">A67+B67</f>
        <v>1192.17</v>
      </c>
      <c r="L67">
        <f t="shared" ref="L67:L130" si="14">C67+D67</f>
        <v>1334.37</v>
      </c>
      <c r="M67">
        <f t="shared" ref="M67:M130" si="15">F67</f>
        <v>327.23</v>
      </c>
      <c r="N67">
        <f t="shared" ref="N67:N130" si="16">E67</f>
        <v>781.79</v>
      </c>
      <c r="O67">
        <f t="shared" ref="O67:O130" si="17">K67+L67</f>
        <v>2526.54</v>
      </c>
      <c r="P67">
        <f t="shared" ref="P67:P130" si="18">M67+N67</f>
        <v>1109.02</v>
      </c>
    </row>
    <row r="68" spans="1:16" x14ac:dyDescent="0.35">
      <c r="A68">
        <v>226.6</v>
      </c>
      <c r="B68">
        <v>11</v>
      </c>
      <c r="C68">
        <v>71.349999999999994</v>
      </c>
      <c r="D68">
        <v>11.69</v>
      </c>
      <c r="E68">
        <v>485.85</v>
      </c>
      <c r="F68">
        <v>791.91</v>
      </c>
      <c r="G68">
        <v>4384</v>
      </c>
      <c r="H68" t="str">
        <f t="shared" si="10"/>
        <v>0-5000</v>
      </c>
      <c r="I68">
        <f t="shared" si="11"/>
        <v>1598.4</v>
      </c>
      <c r="J68" s="3">
        <f t="shared" si="12"/>
        <v>0.36459854014598542</v>
      </c>
      <c r="K68">
        <f t="shared" si="13"/>
        <v>237.6</v>
      </c>
      <c r="L68">
        <f t="shared" si="14"/>
        <v>83.039999999999992</v>
      </c>
      <c r="M68">
        <f t="shared" si="15"/>
        <v>791.91</v>
      </c>
      <c r="N68">
        <f t="shared" si="16"/>
        <v>485.85</v>
      </c>
      <c r="O68">
        <f t="shared" si="17"/>
        <v>320.64</v>
      </c>
      <c r="P68">
        <f t="shared" si="18"/>
        <v>1277.76</v>
      </c>
    </row>
    <row r="69" spans="1:16" x14ac:dyDescent="0.35">
      <c r="A69">
        <v>576.73</v>
      </c>
      <c r="B69">
        <v>756.33</v>
      </c>
      <c r="C69">
        <v>87.96</v>
      </c>
      <c r="D69">
        <v>369.57</v>
      </c>
      <c r="E69">
        <v>223.6</v>
      </c>
      <c r="F69">
        <v>914.72</v>
      </c>
      <c r="G69">
        <v>8421</v>
      </c>
      <c r="H69" t="str">
        <f t="shared" si="10"/>
        <v>7000-8999</v>
      </c>
      <c r="I69">
        <f t="shared" si="11"/>
        <v>2928.91</v>
      </c>
      <c r="J69" s="3">
        <f t="shared" si="12"/>
        <v>0.34781023631397695</v>
      </c>
      <c r="K69">
        <f t="shared" si="13"/>
        <v>1333.06</v>
      </c>
      <c r="L69">
        <f t="shared" si="14"/>
        <v>457.53</v>
      </c>
      <c r="M69">
        <f t="shared" si="15"/>
        <v>914.72</v>
      </c>
      <c r="N69">
        <f t="shared" si="16"/>
        <v>223.6</v>
      </c>
      <c r="O69">
        <f t="shared" si="17"/>
        <v>1790.59</v>
      </c>
      <c r="P69">
        <f t="shared" si="18"/>
        <v>1138.32</v>
      </c>
    </row>
    <row r="70" spans="1:16" x14ac:dyDescent="0.35">
      <c r="A70">
        <v>4.95</v>
      </c>
      <c r="B70">
        <v>667.51</v>
      </c>
      <c r="C70">
        <v>14.86</v>
      </c>
      <c r="D70">
        <v>873.18</v>
      </c>
      <c r="E70">
        <v>825.37</v>
      </c>
      <c r="F70">
        <v>510.47</v>
      </c>
      <c r="G70">
        <v>7236</v>
      </c>
      <c r="H70" t="str">
        <f t="shared" si="10"/>
        <v>7000-8999</v>
      </c>
      <c r="I70">
        <f t="shared" si="11"/>
        <v>2896.34</v>
      </c>
      <c r="J70" s="3">
        <f t="shared" si="12"/>
        <v>0.40026810392482037</v>
      </c>
      <c r="K70">
        <f t="shared" si="13"/>
        <v>672.46</v>
      </c>
      <c r="L70">
        <f t="shared" si="14"/>
        <v>888.04</v>
      </c>
      <c r="M70">
        <f t="shared" si="15"/>
        <v>510.47</v>
      </c>
      <c r="N70">
        <f t="shared" si="16"/>
        <v>825.37</v>
      </c>
      <c r="O70">
        <f t="shared" si="17"/>
        <v>1560.5</v>
      </c>
      <c r="P70">
        <f t="shared" si="18"/>
        <v>1335.8400000000001</v>
      </c>
    </row>
    <row r="71" spans="1:16" x14ac:dyDescent="0.35">
      <c r="A71">
        <v>976.88</v>
      </c>
      <c r="B71">
        <v>832.08</v>
      </c>
      <c r="C71">
        <v>79.47</v>
      </c>
      <c r="D71">
        <v>619.22</v>
      </c>
      <c r="E71">
        <v>368.12</v>
      </c>
      <c r="F71">
        <v>260.66000000000003</v>
      </c>
      <c r="G71">
        <v>7584</v>
      </c>
      <c r="H71" t="str">
        <f t="shared" si="10"/>
        <v>7000-8999</v>
      </c>
      <c r="I71">
        <f t="shared" si="11"/>
        <v>3136.43</v>
      </c>
      <c r="J71" s="3">
        <f t="shared" si="12"/>
        <v>0.41355880801687761</v>
      </c>
      <c r="K71">
        <f t="shared" si="13"/>
        <v>1808.96</v>
      </c>
      <c r="L71">
        <f t="shared" si="14"/>
        <v>698.69</v>
      </c>
      <c r="M71">
        <f t="shared" si="15"/>
        <v>260.66000000000003</v>
      </c>
      <c r="N71">
        <f t="shared" si="16"/>
        <v>368.12</v>
      </c>
      <c r="O71">
        <f t="shared" si="17"/>
        <v>2507.65</v>
      </c>
      <c r="P71">
        <f t="shared" si="18"/>
        <v>628.78</v>
      </c>
    </row>
    <row r="72" spans="1:16" x14ac:dyDescent="0.35">
      <c r="A72">
        <v>402.63</v>
      </c>
      <c r="B72">
        <v>638.9</v>
      </c>
      <c r="C72">
        <v>236.86</v>
      </c>
      <c r="D72">
        <v>917.84</v>
      </c>
      <c r="E72">
        <v>105.81</v>
      </c>
      <c r="F72">
        <v>859.22</v>
      </c>
      <c r="G72">
        <v>8925</v>
      </c>
      <c r="H72" t="str">
        <f t="shared" si="10"/>
        <v>7000-8999</v>
      </c>
      <c r="I72">
        <f t="shared" si="11"/>
        <v>3161.26</v>
      </c>
      <c r="J72" s="3">
        <f t="shared" si="12"/>
        <v>0.35420280112044822</v>
      </c>
      <c r="K72">
        <f t="shared" si="13"/>
        <v>1041.53</v>
      </c>
      <c r="L72">
        <f t="shared" si="14"/>
        <v>1154.7</v>
      </c>
      <c r="M72">
        <f t="shared" si="15"/>
        <v>859.22</v>
      </c>
      <c r="N72">
        <f t="shared" si="16"/>
        <v>105.81</v>
      </c>
      <c r="O72">
        <f t="shared" si="17"/>
        <v>2196.23</v>
      </c>
      <c r="P72">
        <f t="shared" si="18"/>
        <v>965.03</v>
      </c>
    </row>
    <row r="73" spans="1:16" x14ac:dyDescent="0.35">
      <c r="A73">
        <v>254.3</v>
      </c>
      <c r="B73">
        <v>526.4</v>
      </c>
      <c r="C73">
        <v>448.11</v>
      </c>
      <c r="D73">
        <v>694.84</v>
      </c>
      <c r="E73">
        <v>176.67</v>
      </c>
      <c r="F73">
        <v>928.28</v>
      </c>
      <c r="G73">
        <v>8428</v>
      </c>
      <c r="H73" t="str">
        <f t="shared" si="10"/>
        <v>7000-8999</v>
      </c>
      <c r="I73">
        <f t="shared" si="11"/>
        <v>3028.6000000000004</v>
      </c>
      <c r="J73" s="3">
        <f t="shared" si="12"/>
        <v>0.35934978642619841</v>
      </c>
      <c r="K73">
        <f t="shared" si="13"/>
        <v>780.7</v>
      </c>
      <c r="L73">
        <f t="shared" si="14"/>
        <v>1142.95</v>
      </c>
      <c r="M73">
        <f t="shared" si="15"/>
        <v>928.28</v>
      </c>
      <c r="N73">
        <f t="shared" si="16"/>
        <v>176.67</v>
      </c>
      <c r="O73">
        <f t="shared" si="17"/>
        <v>1923.65</v>
      </c>
      <c r="P73">
        <f t="shared" si="18"/>
        <v>1104.95</v>
      </c>
    </row>
    <row r="74" spans="1:16" x14ac:dyDescent="0.35">
      <c r="A74">
        <v>211.37</v>
      </c>
      <c r="B74">
        <v>925.49</v>
      </c>
      <c r="C74">
        <v>614.64</v>
      </c>
      <c r="D74">
        <v>918.84</v>
      </c>
      <c r="E74">
        <v>695.52</v>
      </c>
      <c r="F74">
        <v>599.91</v>
      </c>
      <c r="G74">
        <v>9658</v>
      </c>
      <c r="H74" t="str">
        <f t="shared" si="10"/>
        <v>9000+</v>
      </c>
      <c r="I74">
        <f t="shared" si="11"/>
        <v>3965.77</v>
      </c>
      <c r="J74" s="3">
        <f t="shared" si="12"/>
        <v>0.41062021122385589</v>
      </c>
      <c r="K74">
        <f t="shared" si="13"/>
        <v>1136.8600000000001</v>
      </c>
      <c r="L74">
        <f t="shared" si="14"/>
        <v>1533.48</v>
      </c>
      <c r="M74">
        <f t="shared" si="15"/>
        <v>599.91</v>
      </c>
      <c r="N74">
        <f t="shared" si="16"/>
        <v>695.52</v>
      </c>
      <c r="O74">
        <f t="shared" si="17"/>
        <v>2670.34</v>
      </c>
      <c r="P74">
        <f t="shared" si="18"/>
        <v>1295.4299999999998</v>
      </c>
    </row>
    <row r="75" spans="1:16" x14ac:dyDescent="0.35">
      <c r="A75">
        <v>579.98</v>
      </c>
      <c r="B75">
        <v>330.09</v>
      </c>
      <c r="C75">
        <v>787.75</v>
      </c>
      <c r="D75">
        <v>438.44</v>
      </c>
      <c r="E75">
        <v>193.77</v>
      </c>
      <c r="F75">
        <v>257</v>
      </c>
      <c r="G75">
        <v>5688</v>
      </c>
      <c r="H75" t="str">
        <f t="shared" si="10"/>
        <v>5000-6999</v>
      </c>
      <c r="I75">
        <f t="shared" si="11"/>
        <v>2587.0299999999997</v>
      </c>
      <c r="J75" s="3">
        <f t="shared" si="12"/>
        <v>0.45482243319268634</v>
      </c>
      <c r="K75">
        <f t="shared" si="13"/>
        <v>910.06999999999994</v>
      </c>
      <c r="L75">
        <f t="shared" si="14"/>
        <v>1226.19</v>
      </c>
      <c r="M75">
        <f t="shared" si="15"/>
        <v>257</v>
      </c>
      <c r="N75">
        <f t="shared" si="16"/>
        <v>193.77</v>
      </c>
      <c r="O75">
        <f t="shared" si="17"/>
        <v>2136.2600000000002</v>
      </c>
      <c r="P75">
        <f t="shared" si="18"/>
        <v>450.77</v>
      </c>
    </row>
    <row r="76" spans="1:16" x14ac:dyDescent="0.35">
      <c r="A76">
        <v>306.18</v>
      </c>
      <c r="B76">
        <v>137.08000000000001</v>
      </c>
      <c r="C76">
        <v>549.85</v>
      </c>
      <c r="D76">
        <v>725.44</v>
      </c>
      <c r="E76">
        <v>890.43</v>
      </c>
      <c r="F76">
        <v>381.03</v>
      </c>
      <c r="G76">
        <v>6245</v>
      </c>
      <c r="H76" t="str">
        <f t="shared" si="10"/>
        <v>5000-6999</v>
      </c>
      <c r="I76">
        <f t="shared" si="11"/>
        <v>2990.01</v>
      </c>
      <c r="J76" s="3">
        <f t="shared" si="12"/>
        <v>0.47878462770216179</v>
      </c>
      <c r="K76">
        <f t="shared" si="13"/>
        <v>443.26</v>
      </c>
      <c r="L76">
        <f t="shared" si="14"/>
        <v>1275.29</v>
      </c>
      <c r="M76">
        <f t="shared" si="15"/>
        <v>381.03</v>
      </c>
      <c r="N76">
        <f t="shared" si="16"/>
        <v>890.43</v>
      </c>
      <c r="O76">
        <f t="shared" si="17"/>
        <v>1718.55</v>
      </c>
      <c r="P76">
        <f t="shared" si="18"/>
        <v>1271.46</v>
      </c>
    </row>
    <row r="77" spans="1:16" x14ac:dyDescent="0.35">
      <c r="A77">
        <v>592.24</v>
      </c>
      <c r="B77">
        <v>73.400000000000006</v>
      </c>
      <c r="C77">
        <v>847.47</v>
      </c>
      <c r="D77">
        <v>595.24</v>
      </c>
      <c r="E77">
        <v>721.16</v>
      </c>
      <c r="F77">
        <v>931.95</v>
      </c>
      <c r="G77">
        <v>8744</v>
      </c>
      <c r="H77" t="str">
        <f t="shared" si="10"/>
        <v>7000-8999</v>
      </c>
      <c r="I77">
        <f t="shared" si="11"/>
        <v>3761.46</v>
      </c>
      <c r="J77" s="3">
        <f t="shared" si="12"/>
        <v>0.43017612076852701</v>
      </c>
      <c r="K77">
        <f t="shared" si="13"/>
        <v>665.64</v>
      </c>
      <c r="L77">
        <f t="shared" si="14"/>
        <v>1442.71</v>
      </c>
      <c r="M77">
        <f t="shared" si="15"/>
        <v>931.95</v>
      </c>
      <c r="N77">
        <f t="shared" si="16"/>
        <v>721.16</v>
      </c>
      <c r="O77">
        <f t="shared" si="17"/>
        <v>2108.35</v>
      </c>
      <c r="P77">
        <f t="shared" si="18"/>
        <v>1653.1100000000001</v>
      </c>
    </row>
    <row r="78" spans="1:16" x14ac:dyDescent="0.35">
      <c r="A78">
        <v>503.08</v>
      </c>
      <c r="B78">
        <v>875.25</v>
      </c>
      <c r="C78">
        <v>57.35</v>
      </c>
      <c r="D78">
        <v>837.4</v>
      </c>
      <c r="E78">
        <v>49.45</v>
      </c>
      <c r="F78">
        <v>493.39</v>
      </c>
      <c r="G78">
        <v>7838</v>
      </c>
      <c r="H78" t="str">
        <f t="shared" si="10"/>
        <v>7000-8999</v>
      </c>
      <c r="I78">
        <f t="shared" si="11"/>
        <v>2815.9199999999996</v>
      </c>
      <c r="J78" s="3">
        <f t="shared" si="12"/>
        <v>0.35926511865271749</v>
      </c>
      <c r="K78">
        <f t="shared" si="13"/>
        <v>1378.33</v>
      </c>
      <c r="L78">
        <f t="shared" si="14"/>
        <v>894.75</v>
      </c>
      <c r="M78">
        <f t="shared" si="15"/>
        <v>493.39</v>
      </c>
      <c r="N78">
        <f t="shared" si="16"/>
        <v>49.45</v>
      </c>
      <c r="O78">
        <f t="shared" si="17"/>
        <v>2273.08</v>
      </c>
      <c r="P78">
        <f t="shared" si="18"/>
        <v>542.84</v>
      </c>
    </row>
    <row r="79" spans="1:16" x14ac:dyDescent="0.35">
      <c r="A79">
        <v>628.35</v>
      </c>
      <c r="B79">
        <v>943.41</v>
      </c>
      <c r="C79">
        <v>461.31</v>
      </c>
      <c r="D79">
        <v>162.85</v>
      </c>
      <c r="E79">
        <v>344.75</v>
      </c>
      <c r="F79">
        <v>318.33</v>
      </c>
      <c r="G79">
        <v>6860</v>
      </c>
      <c r="H79" t="str">
        <f t="shared" si="10"/>
        <v>5000-6999</v>
      </c>
      <c r="I79">
        <f t="shared" si="11"/>
        <v>2859</v>
      </c>
      <c r="J79" s="3">
        <f t="shared" si="12"/>
        <v>0.41676384839650144</v>
      </c>
      <c r="K79">
        <f t="shared" si="13"/>
        <v>1571.76</v>
      </c>
      <c r="L79">
        <f t="shared" si="14"/>
        <v>624.16</v>
      </c>
      <c r="M79">
        <f t="shared" si="15"/>
        <v>318.33</v>
      </c>
      <c r="N79">
        <f t="shared" si="16"/>
        <v>344.75</v>
      </c>
      <c r="O79">
        <f t="shared" si="17"/>
        <v>2195.92</v>
      </c>
      <c r="P79">
        <f t="shared" si="18"/>
        <v>663.07999999999993</v>
      </c>
    </row>
    <row r="80" spans="1:16" x14ac:dyDescent="0.35">
      <c r="A80">
        <v>344.11</v>
      </c>
      <c r="B80">
        <v>179.19</v>
      </c>
      <c r="C80">
        <v>30.19</v>
      </c>
      <c r="D80">
        <v>535.22</v>
      </c>
      <c r="E80">
        <v>118.13</v>
      </c>
      <c r="F80">
        <v>353.31</v>
      </c>
      <c r="G80">
        <v>4151</v>
      </c>
      <c r="H80" t="str">
        <f t="shared" si="10"/>
        <v>0-5000</v>
      </c>
      <c r="I80">
        <f t="shared" si="11"/>
        <v>1560.15</v>
      </c>
      <c r="J80" s="3">
        <f t="shared" si="12"/>
        <v>0.37584919296555047</v>
      </c>
      <c r="K80">
        <f t="shared" si="13"/>
        <v>523.29999999999995</v>
      </c>
      <c r="L80">
        <f t="shared" si="14"/>
        <v>565.41000000000008</v>
      </c>
      <c r="M80">
        <f t="shared" si="15"/>
        <v>353.31</v>
      </c>
      <c r="N80">
        <f t="shared" si="16"/>
        <v>118.13</v>
      </c>
      <c r="O80">
        <f t="shared" si="17"/>
        <v>1088.71</v>
      </c>
      <c r="P80">
        <f t="shared" si="18"/>
        <v>471.44</v>
      </c>
    </row>
    <row r="81" spans="1:16" x14ac:dyDescent="0.35">
      <c r="A81">
        <v>814.57</v>
      </c>
      <c r="B81">
        <v>795.23</v>
      </c>
      <c r="C81">
        <v>539.03</v>
      </c>
      <c r="D81">
        <v>630.16</v>
      </c>
      <c r="E81">
        <v>150.16999999999999</v>
      </c>
      <c r="F81">
        <v>378.63</v>
      </c>
      <c r="G81">
        <v>8099</v>
      </c>
      <c r="H81" t="str">
        <f t="shared" si="10"/>
        <v>7000-8999</v>
      </c>
      <c r="I81">
        <f t="shared" si="11"/>
        <v>3307.79</v>
      </c>
      <c r="J81" s="3">
        <f t="shared" si="12"/>
        <v>0.40841955797011975</v>
      </c>
      <c r="K81">
        <f t="shared" si="13"/>
        <v>1609.8000000000002</v>
      </c>
      <c r="L81">
        <f t="shared" si="14"/>
        <v>1169.19</v>
      </c>
      <c r="M81">
        <f t="shared" si="15"/>
        <v>378.63</v>
      </c>
      <c r="N81">
        <f t="shared" si="16"/>
        <v>150.16999999999999</v>
      </c>
      <c r="O81">
        <f t="shared" si="17"/>
        <v>2778.9900000000002</v>
      </c>
      <c r="P81">
        <f t="shared" si="18"/>
        <v>528.79999999999995</v>
      </c>
    </row>
    <row r="82" spans="1:16" x14ac:dyDescent="0.35">
      <c r="A82">
        <v>275.45999999999998</v>
      </c>
      <c r="B82">
        <v>334.21</v>
      </c>
      <c r="C82">
        <v>974.15</v>
      </c>
      <c r="D82">
        <v>657.96</v>
      </c>
      <c r="E82">
        <v>338.91</v>
      </c>
      <c r="F82">
        <v>501.63</v>
      </c>
      <c r="G82">
        <v>7087</v>
      </c>
      <c r="H82" t="str">
        <f t="shared" si="10"/>
        <v>7000-8999</v>
      </c>
      <c r="I82">
        <f t="shared" si="11"/>
        <v>3082.3199999999997</v>
      </c>
      <c r="J82" s="3">
        <f t="shared" si="12"/>
        <v>0.43492592069987296</v>
      </c>
      <c r="K82">
        <f t="shared" si="13"/>
        <v>609.66999999999996</v>
      </c>
      <c r="L82">
        <f t="shared" si="14"/>
        <v>1632.1100000000001</v>
      </c>
      <c r="M82">
        <f t="shared" si="15"/>
        <v>501.63</v>
      </c>
      <c r="N82">
        <f t="shared" si="16"/>
        <v>338.91</v>
      </c>
      <c r="O82">
        <f t="shared" si="17"/>
        <v>2241.7800000000002</v>
      </c>
      <c r="P82">
        <f t="shared" si="18"/>
        <v>840.54</v>
      </c>
    </row>
    <row r="83" spans="1:16" x14ac:dyDescent="0.35">
      <c r="A83">
        <v>516.34</v>
      </c>
      <c r="B83">
        <v>682.94</v>
      </c>
      <c r="C83">
        <v>670.66</v>
      </c>
      <c r="D83">
        <v>593.97</v>
      </c>
      <c r="E83">
        <v>665.91</v>
      </c>
      <c r="F83">
        <v>237.67</v>
      </c>
      <c r="G83">
        <v>7321</v>
      </c>
      <c r="H83" t="str">
        <f t="shared" si="10"/>
        <v>7000-8999</v>
      </c>
      <c r="I83">
        <f t="shared" si="11"/>
        <v>3367.49</v>
      </c>
      <c r="J83" s="3">
        <f t="shared" si="12"/>
        <v>0.4599767791285343</v>
      </c>
      <c r="K83">
        <f t="shared" si="13"/>
        <v>1199.2800000000002</v>
      </c>
      <c r="L83">
        <f t="shared" si="14"/>
        <v>1264.6300000000001</v>
      </c>
      <c r="M83">
        <f t="shared" si="15"/>
        <v>237.67</v>
      </c>
      <c r="N83">
        <f t="shared" si="16"/>
        <v>665.91</v>
      </c>
      <c r="O83">
        <f t="shared" si="17"/>
        <v>2463.9100000000003</v>
      </c>
      <c r="P83">
        <f t="shared" si="18"/>
        <v>903.57999999999993</v>
      </c>
    </row>
    <row r="84" spans="1:16" x14ac:dyDescent="0.35">
      <c r="A84">
        <v>438.1</v>
      </c>
      <c r="B84">
        <v>556.71</v>
      </c>
      <c r="C84">
        <v>823.93</v>
      </c>
      <c r="D84">
        <v>362.43</v>
      </c>
      <c r="E84">
        <v>576.67999999999995</v>
      </c>
      <c r="F84">
        <v>19.489999999999998</v>
      </c>
      <c r="G84">
        <v>5453</v>
      </c>
      <c r="H84" t="str">
        <f t="shared" si="10"/>
        <v>5000-6999</v>
      </c>
      <c r="I84">
        <f t="shared" si="11"/>
        <v>2777.3399999999997</v>
      </c>
      <c r="J84" s="3">
        <f t="shared" si="12"/>
        <v>0.50932330827067662</v>
      </c>
      <c r="K84">
        <f t="shared" si="13"/>
        <v>994.81000000000006</v>
      </c>
      <c r="L84">
        <f t="shared" si="14"/>
        <v>1186.3599999999999</v>
      </c>
      <c r="M84">
        <f t="shared" si="15"/>
        <v>19.489999999999998</v>
      </c>
      <c r="N84">
        <f t="shared" si="16"/>
        <v>576.67999999999995</v>
      </c>
      <c r="O84">
        <f t="shared" si="17"/>
        <v>2181.17</v>
      </c>
      <c r="P84">
        <f t="shared" si="18"/>
        <v>596.16999999999996</v>
      </c>
    </row>
    <row r="85" spans="1:16" x14ac:dyDescent="0.35">
      <c r="A85">
        <v>309.23</v>
      </c>
      <c r="B85">
        <v>254.62</v>
      </c>
      <c r="C85">
        <v>616.46</v>
      </c>
      <c r="D85">
        <v>888.42</v>
      </c>
      <c r="E85">
        <v>216.48</v>
      </c>
      <c r="F85">
        <v>901.14</v>
      </c>
      <c r="G85">
        <v>8380</v>
      </c>
      <c r="H85" t="str">
        <f t="shared" si="10"/>
        <v>7000-8999</v>
      </c>
      <c r="I85">
        <f t="shared" si="11"/>
        <v>3186.35</v>
      </c>
      <c r="J85" s="3">
        <f t="shared" si="12"/>
        <v>0.38023269689737471</v>
      </c>
      <c r="K85">
        <f t="shared" si="13"/>
        <v>563.85</v>
      </c>
      <c r="L85">
        <f t="shared" si="14"/>
        <v>1504.88</v>
      </c>
      <c r="M85">
        <f t="shared" si="15"/>
        <v>901.14</v>
      </c>
      <c r="N85">
        <f t="shared" si="16"/>
        <v>216.48</v>
      </c>
      <c r="O85">
        <f t="shared" si="17"/>
        <v>2068.73</v>
      </c>
      <c r="P85">
        <f t="shared" si="18"/>
        <v>1117.6199999999999</v>
      </c>
    </row>
    <row r="86" spans="1:16" x14ac:dyDescent="0.35">
      <c r="A86">
        <v>280.45999999999998</v>
      </c>
      <c r="B86">
        <v>676.19</v>
      </c>
      <c r="C86">
        <v>729.46</v>
      </c>
      <c r="D86">
        <v>539.74</v>
      </c>
      <c r="E86">
        <v>548.07000000000005</v>
      </c>
      <c r="F86">
        <v>324.89999999999998</v>
      </c>
      <c r="G86">
        <v>6984</v>
      </c>
      <c r="H86" t="str">
        <f t="shared" si="10"/>
        <v>5000-6999</v>
      </c>
      <c r="I86">
        <f t="shared" si="11"/>
        <v>3098.8200000000006</v>
      </c>
      <c r="J86" s="3">
        <f t="shared" si="12"/>
        <v>0.44370274914089358</v>
      </c>
      <c r="K86">
        <f t="shared" si="13"/>
        <v>956.65000000000009</v>
      </c>
      <c r="L86">
        <f t="shared" si="14"/>
        <v>1269.2</v>
      </c>
      <c r="M86">
        <f t="shared" si="15"/>
        <v>324.89999999999998</v>
      </c>
      <c r="N86">
        <f t="shared" si="16"/>
        <v>548.07000000000005</v>
      </c>
      <c r="O86">
        <f t="shared" si="17"/>
        <v>2225.8500000000004</v>
      </c>
      <c r="P86">
        <f t="shared" si="18"/>
        <v>872.97</v>
      </c>
    </row>
    <row r="87" spans="1:16" x14ac:dyDescent="0.35">
      <c r="A87">
        <v>627.1</v>
      </c>
      <c r="B87">
        <v>520.53</v>
      </c>
      <c r="C87">
        <v>461.58</v>
      </c>
      <c r="D87">
        <v>646.87</v>
      </c>
      <c r="E87">
        <v>999.79</v>
      </c>
      <c r="F87">
        <v>681.44</v>
      </c>
      <c r="G87">
        <v>9037</v>
      </c>
      <c r="H87" t="str">
        <f t="shared" si="10"/>
        <v>9000+</v>
      </c>
      <c r="I87">
        <f t="shared" si="11"/>
        <v>3937.31</v>
      </c>
      <c r="J87" s="3">
        <f t="shared" si="12"/>
        <v>0.43568772822839436</v>
      </c>
      <c r="K87">
        <f t="shared" si="13"/>
        <v>1147.6300000000001</v>
      </c>
      <c r="L87">
        <f t="shared" si="14"/>
        <v>1108.45</v>
      </c>
      <c r="M87">
        <f t="shared" si="15"/>
        <v>681.44</v>
      </c>
      <c r="N87">
        <f t="shared" si="16"/>
        <v>999.79</v>
      </c>
      <c r="O87">
        <f t="shared" si="17"/>
        <v>2256.08</v>
      </c>
      <c r="P87">
        <f t="shared" si="18"/>
        <v>1681.23</v>
      </c>
    </row>
    <row r="88" spans="1:16" x14ac:dyDescent="0.35">
      <c r="A88">
        <v>472.66</v>
      </c>
      <c r="B88">
        <v>288.52999999999997</v>
      </c>
      <c r="C88">
        <v>836.27</v>
      </c>
      <c r="D88">
        <v>679.08</v>
      </c>
      <c r="E88">
        <v>490.43</v>
      </c>
      <c r="F88">
        <v>294</v>
      </c>
      <c r="G88">
        <v>6525</v>
      </c>
      <c r="H88" t="str">
        <f t="shared" si="10"/>
        <v>5000-6999</v>
      </c>
      <c r="I88">
        <f t="shared" si="11"/>
        <v>3060.97</v>
      </c>
      <c r="J88" s="3">
        <f t="shared" si="12"/>
        <v>0.46911417624521068</v>
      </c>
      <c r="K88">
        <f t="shared" si="13"/>
        <v>761.19</v>
      </c>
      <c r="L88">
        <f t="shared" si="14"/>
        <v>1515.35</v>
      </c>
      <c r="M88">
        <f t="shared" si="15"/>
        <v>294</v>
      </c>
      <c r="N88">
        <f t="shared" si="16"/>
        <v>490.43</v>
      </c>
      <c r="O88">
        <f t="shared" si="17"/>
        <v>2276.54</v>
      </c>
      <c r="P88">
        <f t="shared" si="18"/>
        <v>784.43000000000006</v>
      </c>
    </row>
    <row r="89" spans="1:16" x14ac:dyDescent="0.35">
      <c r="A89">
        <v>484.3</v>
      </c>
      <c r="B89">
        <v>857.63</v>
      </c>
      <c r="C89">
        <v>969.6</v>
      </c>
      <c r="D89">
        <v>50.03</v>
      </c>
      <c r="E89">
        <v>807.26</v>
      </c>
      <c r="F89">
        <v>22.11</v>
      </c>
      <c r="G89">
        <v>6184</v>
      </c>
      <c r="H89" t="str">
        <f t="shared" si="10"/>
        <v>5000-6999</v>
      </c>
      <c r="I89">
        <f t="shared" si="11"/>
        <v>3190.9300000000007</v>
      </c>
      <c r="J89" s="3">
        <f t="shared" si="12"/>
        <v>0.5159977360931437</v>
      </c>
      <c r="K89">
        <f t="shared" si="13"/>
        <v>1341.93</v>
      </c>
      <c r="L89">
        <f t="shared" si="14"/>
        <v>1019.63</v>
      </c>
      <c r="M89">
        <f t="shared" si="15"/>
        <v>22.11</v>
      </c>
      <c r="N89">
        <f t="shared" si="16"/>
        <v>807.26</v>
      </c>
      <c r="O89">
        <f t="shared" si="17"/>
        <v>2361.56</v>
      </c>
      <c r="P89">
        <f t="shared" si="18"/>
        <v>829.37</v>
      </c>
    </row>
    <row r="90" spans="1:16" x14ac:dyDescent="0.35">
      <c r="A90">
        <v>253.65</v>
      </c>
      <c r="B90">
        <v>51.38</v>
      </c>
      <c r="C90">
        <v>417.09</v>
      </c>
      <c r="D90">
        <v>689.61</v>
      </c>
      <c r="E90">
        <v>885.97</v>
      </c>
      <c r="F90">
        <v>74.930000000000007</v>
      </c>
      <c r="G90">
        <v>4368</v>
      </c>
      <c r="H90" t="str">
        <f t="shared" si="10"/>
        <v>0-5000</v>
      </c>
      <c r="I90">
        <f t="shared" si="11"/>
        <v>2372.6299999999997</v>
      </c>
      <c r="J90" s="3">
        <f t="shared" si="12"/>
        <v>0.54318452380952376</v>
      </c>
      <c r="K90">
        <f t="shared" si="13"/>
        <v>305.03000000000003</v>
      </c>
      <c r="L90">
        <f t="shared" si="14"/>
        <v>1106.7</v>
      </c>
      <c r="M90">
        <f t="shared" si="15"/>
        <v>74.930000000000007</v>
      </c>
      <c r="N90">
        <f t="shared" si="16"/>
        <v>885.97</v>
      </c>
      <c r="O90">
        <f t="shared" si="17"/>
        <v>1411.73</v>
      </c>
      <c r="P90">
        <f t="shared" si="18"/>
        <v>960.90000000000009</v>
      </c>
    </row>
    <row r="91" spans="1:16" x14ac:dyDescent="0.35">
      <c r="A91">
        <v>564.09</v>
      </c>
      <c r="B91">
        <v>321.14999999999998</v>
      </c>
      <c r="C91">
        <v>590.16</v>
      </c>
      <c r="D91">
        <v>161.65</v>
      </c>
      <c r="E91">
        <v>109.3</v>
      </c>
      <c r="F91">
        <v>776.77</v>
      </c>
      <c r="G91">
        <v>6603</v>
      </c>
      <c r="H91" t="str">
        <f t="shared" si="10"/>
        <v>5000-6999</v>
      </c>
      <c r="I91">
        <f t="shared" si="11"/>
        <v>2523.12</v>
      </c>
      <c r="J91" s="3">
        <f t="shared" si="12"/>
        <v>0.38211721944570648</v>
      </c>
      <c r="K91">
        <f t="shared" si="13"/>
        <v>885.24</v>
      </c>
      <c r="L91">
        <f t="shared" si="14"/>
        <v>751.81</v>
      </c>
      <c r="M91">
        <f t="shared" si="15"/>
        <v>776.77</v>
      </c>
      <c r="N91">
        <f t="shared" si="16"/>
        <v>109.3</v>
      </c>
      <c r="O91">
        <f t="shared" si="17"/>
        <v>1637.05</v>
      </c>
      <c r="P91">
        <f t="shared" si="18"/>
        <v>886.06999999999994</v>
      </c>
    </row>
    <row r="92" spans="1:16" x14ac:dyDescent="0.35">
      <c r="A92">
        <v>154.83000000000001</v>
      </c>
      <c r="B92">
        <v>302.06</v>
      </c>
      <c r="C92">
        <v>911.95</v>
      </c>
      <c r="D92">
        <v>100.35</v>
      </c>
      <c r="E92">
        <v>143.65</v>
      </c>
      <c r="F92">
        <v>623.62</v>
      </c>
      <c r="G92">
        <v>5519</v>
      </c>
      <c r="H92" t="str">
        <f t="shared" si="10"/>
        <v>5000-6999</v>
      </c>
      <c r="I92">
        <f t="shared" si="11"/>
        <v>2236.46</v>
      </c>
      <c r="J92" s="3">
        <f t="shared" si="12"/>
        <v>0.4052292081898895</v>
      </c>
      <c r="K92">
        <f t="shared" si="13"/>
        <v>456.89</v>
      </c>
      <c r="L92">
        <f t="shared" si="14"/>
        <v>1012.3000000000001</v>
      </c>
      <c r="M92">
        <f t="shared" si="15"/>
        <v>623.62</v>
      </c>
      <c r="N92">
        <f t="shared" si="16"/>
        <v>143.65</v>
      </c>
      <c r="O92">
        <f t="shared" si="17"/>
        <v>1469.19</v>
      </c>
      <c r="P92">
        <f t="shared" si="18"/>
        <v>767.27</v>
      </c>
    </row>
    <row r="93" spans="1:16" x14ac:dyDescent="0.35">
      <c r="A93">
        <v>909.36</v>
      </c>
      <c r="B93">
        <v>487.33</v>
      </c>
      <c r="C93">
        <v>344.62</v>
      </c>
      <c r="D93">
        <v>285.48</v>
      </c>
      <c r="E93">
        <v>91.26</v>
      </c>
      <c r="F93">
        <v>926.73</v>
      </c>
      <c r="G93">
        <v>8320</v>
      </c>
      <c r="H93" t="str">
        <f t="shared" si="10"/>
        <v>7000-8999</v>
      </c>
      <c r="I93">
        <f t="shared" si="11"/>
        <v>3044.78</v>
      </c>
      <c r="J93" s="3">
        <f t="shared" si="12"/>
        <v>0.36595913461538465</v>
      </c>
      <c r="K93">
        <f t="shared" si="13"/>
        <v>1396.69</v>
      </c>
      <c r="L93">
        <f t="shared" si="14"/>
        <v>630.1</v>
      </c>
      <c r="M93">
        <f t="shared" si="15"/>
        <v>926.73</v>
      </c>
      <c r="N93">
        <f t="shared" si="16"/>
        <v>91.26</v>
      </c>
      <c r="O93">
        <f t="shared" si="17"/>
        <v>2026.79</v>
      </c>
      <c r="P93">
        <f t="shared" si="18"/>
        <v>1017.99</v>
      </c>
    </row>
    <row r="94" spans="1:16" x14ac:dyDescent="0.35">
      <c r="A94">
        <v>867.51</v>
      </c>
      <c r="B94">
        <v>932.27</v>
      </c>
      <c r="C94">
        <v>148.9</v>
      </c>
      <c r="D94">
        <v>373.02</v>
      </c>
      <c r="E94">
        <v>570.23</v>
      </c>
      <c r="F94">
        <v>531.79</v>
      </c>
      <c r="G94">
        <v>8504</v>
      </c>
      <c r="H94" t="str">
        <f t="shared" si="10"/>
        <v>7000-8999</v>
      </c>
      <c r="I94">
        <f t="shared" si="11"/>
        <v>3423.72</v>
      </c>
      <c r="J94" s="3">
        <f t="shared" si="12"/>
        <v>0.40260112888052679</v>
      </c>
      <c r="K94">
        <f t="shared" si="13"/>
        <v>1799.78</v>
      </c>
      <c r="L94">
        <f t="shared" si="14"/>
        <v>521.91999999999996</v>
      </c>
      <c r="M94">
        <f t="shared" si="15"/>
        <v>531.79</v>
      </c>
      <c r="N94">
        <f t="shared" si="16"/>
        <v>570.23</v>
      </c>
      <c r="O94">
        <f t="shared" si="17"/>
        <v>2321.6999999999998</v>
      </c>
      <c r="P94">
        <f t="shared" si="18"/>
        <v>1102.02</v>
      </c>
    </row>
    <row r="95" spans="1:16" x14ac:dyDescent="0.35">
      <c r="A95">
        <v>992.99</v>
      </c>
      <c r="B95">
        <v>831.97</v>
      </c>
      <c r="C95">
        <v>982.63</v>
      </c>
      <c r="D95">
        <v>361.36</v>
      </c>
      <c r="E95">
        <v>331.65</v>
      </c>
      <c r="F95">
        <v>574.97</v>
      </c>
      <c r="G95">
        <v>9553</v>
      </c>
      <c r="H95" t="str">
        <f t="shared" si="10"/>
        <v>9000+</v>
      </c>
      <c r="I95">
        <f t="shared" si="11"/>
        <v>4075.5700000000006</v>
      </c>
      <c r="J95" s="3">
        <f t="shared" si="12"/>
        <v>0.42662723751701043</v>
      </c>
      <c r="K95">
        <f t="shared" si="13"/>
        <v>1824.96</v>
      </c>
      <c r="L95">
        <f t="shared" si="14"/>
        <v>1343.99</v>
      </c>
      <c r="M95">
        <f t="shared" si="15"/>
        <v>574.97</v>
      </c>
      <c r="N95">
        <f t="shared" si="16"/>
        <v>331.65</v>
      </c>
      <c r="O95">
        <f t="shared" si="17"/>
        <v>3168.95</v>
      </c>
      <c r="P95">
        <f t="shared" si="18"/>
        <v>906.62</v>
      </c>
    </row>
    <row r="96" spans="1:16" x14ac:dyDescent="0.35">
      <c r="A96">
        <v>331.82</v>
      </c>
      <c r="B96">
        <v>175.46</v>
      </c>
      <c r="C96">
        <v>763.6</v>
      </c>
      <c r="D96">
        <v>352.17</v>
      </c>
      <c r="E96">
        <v>256.97000000000003</v>
      </c>
      <c r="F96">
        <v>372.7</v>
      </c>
      <c r="G96">
        <v>5019</v>
      </c>
      <c r="H96" t="str">
        <f t="shared" si="10"/>
        <v>5000-6999</v>
      </c>
      <c r="I96">
        <f t="shared" si="11"/>
        <v>2252.7200000000003</v>
      </c>
      <c r="J96" s="3">
        <f t="shared" si="12"/>
        <v>0.44883841402669861</v>
      </c>
      <c r="K96">
        <f t="shared" si="13"/>
        <v>507.28</v>
      </c>
      <c r="L96">
        <f t="shared" si="14"/>
        <v>1115.77</v>
      </c>
      <c r="M96">
        <f t="shared" si="15"/>
        <v>372.7</v>
      </c>
      <c r="N96">
        <f t="shared" si="16"/>
        <v>256.97000000000003</v>
      </c>
      <c r="O96">
        <f t="shared" si="17"/>
        <v>1623.05</v>
      </c>
      <c r="P96">
        <f t="shared" si="18"/>
        <v>629.67000000000007</v>
      </c>
    </row>
    <row r="97" spans="1:16" x14ac:dyDescent="0.35">
      <c r="A97">
        <v>479.95</v>
      </c>
      <c r="B97">
        <v>842.11</v>
      </c>
      <c r="C97">
        <v>196.97</v>
      </c>
      <c r="D97">
        <v>595.41</v>
      </c>
      <c r="E97">
        <v>883.59</v>
      </c>
      <c r="F97">
        <v>337.1</v>
      </c>
      <c r="G97">
        <v>7677</v>
      </c>
      <c r="H97" t="str">
        <f t="shared" si="10"/>
        <v>7000-8999</v>
      </c>
      <c r="I97">
        <f t="shared" si="11"/>
        <v>3335.13</v>
      </c>
      <c r="J97" s="3">
        <f t="shared" si="12"/>
        <v>0.43443141852286049</v>
      </c>
      <c r="K97">
        <f t="shared" si="13"/>
        <v>1322.06</v>
      </c>
      <c r="L97">
        <f t="shared" si="14"/>
        <v>792.38</v>
      </c>
      <c r="M97">
        <f t="shared" si="15"/>
        <v>337.1</v>
      </c>
      <c r="N97">
        <f t="shared" si="16"/>
        <v>883.59</v>
      </c>
      <c r="O97">
        <f t="shared" si="17"/>
        <v>2114.44</v>
      </c>
      <c r="P97">
        <f t="shared" si="18"/>
        <v>1220.69</v>
      </c>
    </row>
    <row r="98" spans="1:16" x14ac:dyDescent="0.35">
      <c r="A98">
        <v>788.17</v>
      </c>
      <c r="B98">
        <v>825.42</v>
      </c>
      <c r="C98">
        <v>912.89</v>
      </c>
      <c r="D98">
        <v>235.03</v>
      </c>
      <c r="E98">
        <v>938.7</v>
      </c>
      <c r="F98">
        <v>907.57</v>
      </c>
      <c r="G98">
        <v>10763</v>
      </c>
      <c r="H98" t="str">
        <f t="shared" si="10"/>
        <v>9000+</v>
      </c>
      <c r="I98">
        <f t="shared" si="11"/>
        <v>4607.78</v>
      </c>
      <c r="J98" s="3">
        <f t="shared" si="12"/>
        <v>0.42811297965251321</v>
      </c>
      <c r="K98">
        <f t="shared" si="13"/>
        <v>1613.59</v>
      </c>
      <c r="L98">
        <f t="shared" si="14"/>
        <v>1147.92</v>
      </c>
      <c r="M98">
        <f t="shared" si="15"/>
        <v>907.57</v>
      </c>
      <c r="N98">
        <f t="shared" si="16"/>
        <v>938.7</v>
      </c>
      <c r="O98">
        <f t="shared" si="17"/>
        <v>2761.51</v>
      </c>
      <c r="P98">
        <f t="shared" si="18"/>
        <v>1846.27</v>
      </c>
    </row>
    <row r="99" spans="1:16" x14ac:dyDescent="0.35">
      <c r="A99">
        <v>540.69000000000005</v>
      </c>
      <c r="B99">
        <v>326.95</v>
      </c>
      <c r="C99">
        <v>362.71</v>
      </c>
      <c r="D99">
        <v>597.94000000000005</v>
      </c>
      <c r="E99">
        <v>255.6</v>
      </c>
      <c r="F99">
        <v>635.29999999999995</v>
      </c>
      <c r="G99">
        <v>6959</v>
      </c>
      <c r="H99" t="str">
        <f t="shared" si="10"/>
        <v>5000-6999</v>
      </c>
      <c r="I99">
        <f t="shared" si="11"/>
        <v>2719.1900000000005</v>
      </c>
      <c r="J99" s="3">
        <f t="shared" si="12"/>
        <v>0.39074435982181355</v>
      </c>
      <c r="K99">
        <f t="shared" si="13"/>
        <v>867.6400000000001</v>
      </c>
      <c r="L99">
        <f t="shared" si="14"/>
        <v>960.65000000000009</v>
      </c>
      <c r="M99">
        <f t="shared" si="15"/>
        <v>635.29999999999995</v>
      </c>
      <c r="N99">
        <f t="shared" si="16"/>
        <v>255.6</v>
      </c>
      <c r="O99">
        <f t="shared" si="17"/>
        <v>1828.2900000000002</v>
      </c>
      <c r="P99">
        <f t="shared" si="18"/>
        <v>890.9</v>
      </c>
    </row>
    <row r="100" spans="1:16" x14ac:dyDescent="0.35">
      <c r="A100">
        <v>679.14</v>
      </c>
      <c r="B100">
        <v>447.24</v>
      </c>
      <c r="C100">
        <v>395.3</v>
      </c>
      <c r="D100">
        <v>421.19</v>
      </c>
      <c r="E100">
        <v>565.17999999999995</v>
      </c>
      <c r="F100">
        <v>169.63</v>
      </c>
      <c r="G100">
        <v>5692</v>
      </c>
      <c r="H100" t="str">
        <f t="shared" si="10"/>
        <v>5000-6999</v>
      </c>
      <c r="I100">
        <f t="shared" si="11"/>
        <v>2677.6800000000003</v>
      </c>
      <c r="J100" s="3">
        <f t="shared" si="12"/>
        <v>0.47042867182009845</v>
      </c>
      <c r="K100">
        <f t="shared" si="13"/>
        <v>1126.3800000000001</v>
      </c>
      <c r="L100">
        <f t="shared" si="14"/>
        <v>816.49</v>
      </c>
      <c r="M100">
        <f t="shared" si="15"/>
        <v>169.63</v>
      </c>
      <c r="N100">
        <f t="shared" si="16"/>
        <v>565.17999999999995</v>
      </c>
      <c r="O100">
        <f t="shared" si="17"/>
        <v>1942.8700000000001</v>
      </c>
      <c r="P100">
        <f t="shared" si="18"/>
        <v>734.81</v>
      </c>
    </row>
    <row r="101" spans="1:16" x14ac:dyDescent="0.35">
      <c r="A101">
        <v>283.57</v>
      </c>
      <c r="B101">
        <v>358.42</v>
      </c>
      <c r="C101">
        <v>213.66</v>
      </c>
      <c r="D101">
        <v>29.11</v>
      </c>
      <c r="E101">
        <v>622.67999999999995</v>
      </c>
      <c r="F101">
        <v>90.42</v>
      </c>
      <c r="G101">
        <v>3141</v>
      </c>
      <c r="H101" t="str">
        <f t="shared" si="10"/>
        <v>0-5000</v>
      </c>
      <c r="I101">
        <f t="shared" si="11"/>
        <v>1597.8600000000001</v>
      </c>
      <c r="J101" s="3">
        <f t="shared" si="12"/>
        <v>0.5087106017191978</v>
      </c>
      <c r="K101">
        <f t="shared" si="13"/>
        <v>641.99</v>
      </c>
      <c r="L101">
        <f t="shared" si="14"/>
        <v>242.76999999999998</v>
      </c>
      <c r="M101">
        <f t="shared" si="15"/>
        <v>90.42</v>
      </c>
      <c r="N101">
        <f t="shared" si="16"/>
        <v>622.67999999999995</v>
      </c>
      <c r="O101">
        <f t="shared" si="17"/>
        <v>884.76</v>
      </c>
      <c r="P101">
        <f t="shared" si="18"/>
        <v>713.09999999999991</v>
      </c>
    </row>
    <row r="102" spans="1:16" x14ac:dyDescent="0.35">
      <c r="A102">
        <v>751.82</v>
      </c>
      <c r="B102">
        <v>145.44</v>
      </c>
      <c r="C102">
        <v>471.13</v>
      </c>
      <c r="D102">
        <v>744.64</v>
      </c>
      <c r="E102">
        <v>534.30999999999995</v>
      </c>
      <c r="F102">
        <v>809.25</v>
      </c>
      <c r="G102">
        <v>8387</v>
      </c>
      <c r="H102" t="str">
        <f t="shared" si="10"/>
        <v>7000-8999</v>
      </c>
      <c r="I102">
        <f t="shared" si="11"/>
        <v>3456.5899999999997</v>
      </c>
      <c r="J102" s="3">
        <f t="shared" si="12"/>
        <v>0.41213664003815426</v>
      </c>
      <c r="K102">
        <f t="shared" si="13"/>
        <v>897.26</v>
      </c>
      <c r="L102">
        <f t="shared" si="14"/>
        <v>1215.77</v>
      </c>
      <c r="M102">
        <f t="shared" si="15"/>
        <v>809.25</v>
      </c>
      <c r="N102">
        <f t="shared" si="16"/>
        <v>534.30999999999995</v>
      </c>
      <c r="O102">
        <f t="shared" si="17"/>
        <v>2113.0299999999997</v>
      </c>
      <c r="P102">
        <f t="shared" si="18"/>
        <v>1343.56</v>
      </c>
    </row>
    <row r="103" spans="1:16" x14ac:dyDescent="0.35">
      <c r="A103">
        <v>835.52</v>
      </c>
      <c r="B103">
        <v>315.69</v>
      </c>
      <c r="C103">
        <v>142.37</v>
      </c>
      <c r="D103">
        <v>764.15</v>
      </c>
      <c r="E103">
        <v>563.82000000000005</v>
      </c>
      <c r="F103">
        <v>833.02</v>
      </c>
      <c r="G103">
        <v>8760</v>
      </c>
      <c r="H103" t="str">
        <f t="shared" si="10"/>
        <v>7000-8999</v>
      </c>
      <c r="I103">
        <f t="shared" si="11"/>
        <v>3454.57</v>
      </c>
      <c r="J103" s="3">
        <f t="shared" si="12"/>
        <v>0.3943573059360731</v>
      </c>
      <c r="K103">
        <f t="shared" si="13"/>
        <v>1151.21</v>
      </c>
      <c r="L103">
        <f t="shared" si="14"/>
        <v>906.52</v>
      </c>
      <c r="M103">
        <f t="shared" si="15"/>
        <v>833.02</v>
      </c>
      <c r="N103">
        <f t="shared" si="16"/>
        <v>563.82000000000005</v>
      </c>
      <c r="O103">
        <f t="shared" si="17"/>
        <v>2057.73</v>
      </c>
      <c r="P103">
        <f t="shared" si="18"/>
        <v>1396.8400000000001</v>
      </c>
    </row>
    <row r="104" spans="1:16" x14ac:dyDescent="0.35">
      <c r="A104">
        <v>5.77</v>
      </c>
      <c r="B104">
        <v>169.34</v>
      </c>
      <c r="C104">
        <v>725.49</v>
      </c>
      <c r="D104">
        <v>477.59</v>
      </c>
      <c r="E104">
        <v>363.65</v>
      </c>
      <c r="F104">
        <v>429.3</v>
      </c>
      <c r="G104">
        <v>4945</v>
      </c>
      <c r="H104" t="str">
        <f t="shared" si="10"/>
        <v>0-5000</v>
      </c>
      <c r="I104">
        <f t="shared" si="11"/>
        <v>2171.1400000000003</v>
      </c>
      <c r="J104" s="3">
        <f t="shared" si="12"/>
        <v>0.43905763397371089</v>
      </c>
      <c r="K104">
        <f t="shared" si="13"/>
        <v>175.11</v>
      </c>
      <c r="L104">
        <f t="shared" si="14"/>
        <v>1203.08</v>
      </c>
      <c r="M104">
        <f t="shared" si="15"/>
        <v>429.3</v>
      </c>
      <c r="N104">
        <f t="shared" si="16"/>
        <v>363.65</v>
      </c>
      <c r="O104">
        <f t="shared" si="17"/>
        <v>1378.19</v>
      </c>
      <c r="P104">
        <f t="shared" si="18"/>
        <v>792.95</v>
      </c>
    </row>
    <row r="105" spans="1:16" x14ac:dyDescent="0.35">
      <c r="A105">
        <v>322</v>
      </c>
      <c r="B105">
        <v>605.12</v>
      </c>
      <c r="C105">
        <v>47.46</v>
      </c>
      <c r="D105">
        <v>531.5</v>
      </c>
      <c r="E105">
        <v>839.57</v>
      </c>
      <c r="F105">
        <v>694.12</v>
      </c>
      <c r="G105">
        <v>7639</v>
      </c>
      <c r="H105" t="str">
        <f t="shared" si="10"/>
        <v>7000-8999</v>
      </c>
      <c r="I105">
        <f t="shared" si="11"/>
        <v>3039.77</v>
      </c>
      <c r="J105" s="3">
        <f t="shared" si="12"/>
        <v>0.39792773923288388</v>
      </c>
      <c r="K105">
        <f t="shared" si="13"/>
        <v>927.12</v>
      </c>
      <c r="L105">
        <f t="shared" si="14"/>
        <v>578.96</v>
      </c>
      <c r="M105">
        <f t="shared" si="15"/>
        <v>694.12</v>
      </c>
      <c r="N105">
        <f t="shared" si="16"/>
        <v>839.57</v>
      </c>
      <c r="O105">
        <f t="shared" si="17"/>
        <v>1506.08</v>
      </c>
      <c r="P105">
        <f t="shared" si="18"/>
        <v>1533.69</v>
      </c>
    </row>
    <row r="106" spans="1:16" x14ac:dyDescent="0.35">
      <c r="A106">
        <v>927.85</v>
      </c>
      <c r="B106">
        <v>609.14</v>
      </c>
      <c r="C106">
        <v>185.13</v>
      </c>
      <c r="D106">
        <v>117.63</v>
      </c>
      <c r="E106">
        <v>326.14999999999998</v>
      </c>
      <c r="F106">
        <v>685.77</v>
      </c>
      <c r="G106">
        <v>7395</v>
      </c>
      <c r="H106" t="str">
        <f t="shared" si="10"/>
        <v>7000-8999</v>
      </c>
      <c r="I106">
        <f t="shared" si="11"/>
        <v>2851.67</v>
      </c>
      <c r="J106" s="3">
        <f t="shared" si="12"/>
        <v>0.3856213657876944</v>
      </c>
      <c r="K106">
        <f t="shared" si="13"/>
        <v>1536.99</v>
      </c>
      <c r="L106">
        <f t="shared" si="14"/>
        <v>302.76</v>
      </c>
      <c r="M106">
        <f t="shared" si="15"/>
        <v>685.77</v>
      </c>
      <c r="N106">
        <f t="shared" si="16"/>
        <v>326.14999999999998</v>
      </c>
      <c r="O106">
        <f t="shared" si="17"/>
        <v>1839.75</v>
      </c>
      <c r="P106">
        <f t="shared" si="18"/>
        <v>1011.92</v>
      </c>
    </row>
    <row r="107" spans="1:16" x14ac:dyDescent="0.35">
      <c r="A107">
        <v>142.99</v>
      </c>
      <c r="B107">
        <v>644.11</v>
      </c>
      <c r="C107">
        <v>93.04</v>
      </c>
      <c r="D107">
        <v>221.03</v>
      </c>
      <c r="E107">
        <v>547.35</v>
      </c>
      <c r="F107">
        <v>968.01</v>
      </c>
      <c r="G107">
        <v>7430</v>
      </c>
      <c r="H107" t="str">
        <f t="shared" si="10"/>
        <v>7000-8999</v>
      </c>
      <c r="I107">
        <f t="shared" si="11"/>
        <v>2616.5299999999997</v>
      </c>
      <c r="J107" s="3">
        <f t="shared" si="12"/>
        <v>0.352157469717362</v>
      </c>
      <c r="K107">
        <f t="shared" si="13"/>
        <v>787.1</v>
      </c>
      <c r="L107">
        <f t="shared" si="14"/>
        <v>314.07</v>
      </c>
      <c r="M107">
        <f t="shared" si="15"/>
        <v>968.01</v>
      </c>
      <c r="N107">
        <f t="shared" si="16"/>
        <v>547.35</v>
      </c>
      <c r="O107">
        <f t="shared" si="17"/>
        <v>1101.17</v>
      </c>
      <c r="P107">
        <f t="shared" si="18"/>
        <v>1515.3600000000001</v>
      </c>
    </row>
    <row r="108" spans="1:16" x14ac:dyDescent="0.35">
      <c r="A108">
        <v>196.22</v>
      </c>
      <c r="B108">
        <v>945.14</v>
      </c>
      <c r="C108">
        <v>807.19</v>
      </c>
      <c r="D108">
        <v>314.81</v>
      </c>
      <c r="E108">
        <v>691.84</v>
      </c>
      <c r="F108">
        <v>293.48</v>
      </c>
      <c r="G108">
        <v>7219</v>
      </c>
      <c r="H108" t="str">
        <f t="shared" si="10"/>
        <v>7000-8999</v>
      </c>
      <c r="I108">
        <f t="shared" si="11"/>
        <v>3248.6800000000003</v>
      </c>
      <c r="J108" s="3">
        <f t="shared" si="12"/>
        <v>0.45001800803435382</v>
      </c>
      <c r="K108">
        <f t="shared" si="13"/>
        <v>1141.3599999999999</v>
      </c>
      <c r="L108">
        <f t="shared" si="14"/>
        <v>1122</v>
      </c>
      <c r="M108">
        <f t="shared" si="15"/>
        <v>293.48</v>
      </c>
      <c r="N108">
        <f t="shared" si="16"/>
        <v>691.84</v>
      </c>
      <c r="O108">
        <f t="shared" si="17"/>
        <v>2263.3599999999997</v>
      </c>
      <c r="P108">
        <f t="shared" si="18"/>
        <v>985.32</v>
      </c>
    </row>
    <row r="109" spans="1:16" x14ac:dyDescent="0.35">
      <c r="A109">
        <v>204.8</v>
      </c>
      <c r="B109">
        <v>416.06</v>
      </c>
      <c r="C109">
        <v>743.94</v>
      </c>
      <c r="D109">
        <v>884.94</v>
      </c>
      <c r="E109">
        <v>11.75</v>
      </c>
      <c r="F109">
        <v>750.43</v>
      </c>
      <c r="G109">
        <v>8000</v>
      </c>
      <c r="H109" t="str">
        <f t="shared" si="10"/>
        <v>7000-8999</v>
      </c>
      <c r="I109">
        <f t="shared" si="11"/>
        <v>3011.92</v>
      </c>
      <c r="J109" s="3">
        <f t="shared" si="12"/>
        <v>0.37648999999999999</v>
      </c>
      <c r="K109">
        <f t="shared" si="13"/>
        <v>620.86</v>
      </c>
      <c r="L109">
        <f t="shared" si="14"/>
        <v>1628.88</v>
      </c>
      <c r="M109">
        <f t="shared" si="15"/>
        <v>750.43</v>
      </c>
      <c r="N109">
        <f t="shared" si="16"/>
        <v>11.75</v>
      </c>
      <c r="O109">
        <f t="shared" si="17"/>
        <v>2249.7400000000002</v>
      </c>
      <c r="P109">
        <f t="shared" si="18"/>
        <v>762.18</v>
      </c>
    </row>
    <row r="110" spans="1:16" x14ac:dyDescent="0.35">
      <c r="A110">
        <v>899.43</v>
      </c>
      <c r="B110">
        <v>712.96</v>
      </c>
      <c r="C110">
        <v>760.18</v>
      </c>
      <c r="D110">
        <v>762.53</v>
      </c>
      <c r="E110">
        <v>75.72</v>
      </c>
      <c r="F110">
        <v>378.28</v>
      </c>
      <c r="G110">
        <v>8576</v>
      </c>
      <c r="H110" t="str">
        <f t="shared" si="10"/>
        <v>7000-8999</v>
      </c>
      <c r="I110">
        <f t="shared" si="11"/>
        <v>3589.0999999999995</v>
      </c>
      <c r="J110" s="3">
        <f t="shared" si="12"/>
        <v>0.41850513059701488</v>
      </c>
      <c r="K110">
        <f t="shared" si="13"/>
        <v>1612.3899999999999</v>
      </c>
      <c r="L110">
        <f t="shared" si="14"/>
        <v>1522.71</v>
      </c>
      <c r="M110">
        <f t="shared" si="15"/>
        <v>378.28</v>
      </c>
      <c r="N110">
        <f t="shared" si="16"/>
        <v>75.72</v>
      </c>
      <c r="O110">
        <f t="shared" si="17"/>
        <v>3135.1</v>
      </c>
      <c r="P110">
        <f t="shared" si="18"/>
        <v>454</v>
      </c>
    </row>
    <row r="111" spans="1:16" x14ac:dyDescent="0.35">
      <c r="A111">
        <v>204.63</v>
      </c>
      <c r="B111">
        <v>624.34</v>
      </c>
      <c r="C111">
        <v>566.30999999999995</v>
      </c>
      <c r="D111">
        <v>379.17</v>
      </c>
      <c r="E111">
        <v>952.84</v>
      </c>
      <c r="F111">
        <v>786.09</v>
      </c>
      <c r="G111">
        <v>8368</v>
      </c>
      <c r="H111" t="str">
        <f t="shared" si="10"/>
        <v>7000-8999</v>
      </c>
      <c r="I111">
        <f t="shared" si="11"/>
        <v>3513.38</v>
      </c>
      <c r="J111" s="3">
        <f t="shared" si="12"/>
        <v>0.41985898661567878</v>
      </c>
      <c r="K111">
        <f t="shared" si="13"/>
        <v>828.97</v>
      </c>
      <c r="L111">
        <f t="shared" si="14"/>
        <v>945.48</v>
      </c>
      <c r="M111">
        <f t="shared" si="15"/>
        <v>786.09</v>
      </c>
      <c r="N111">
        <f t="shared" si="16"/>
        <v>952.84</v>
      </c>
      <c r="O111">
        <f t="shared" si="17"/>
        <v>1774.45</v>
      </c>
      <c r="P111">
        <f t="shared" si="18"/>
        <v>1738.93</v>
      </c>
    </row>
    <row r="112" spans="1:16" x14ac:dyDescent="0.35">
      <c r="A112">
        <v>100.6</v>
      </c>
      <c r="B112">
        <v>606.54999999999995</v>
      </c>
      <c r="C112">
        <v>88.07</v>
      </c>
      <c r="D112">
        <v>681.03</v>
      </c>
      <c r="E112">
        <v>251.5</v>
      </c>
      <c r="F112">
        <v>68.650000000000006</v>
      </c>
      <c r="G112">
        <v>4427</v>
      </c>
      <c r="H112" t="str">
        <f t="shared" si="10"/>
        <v>0-5000</v>
      </c>
      <c r="I112">
        <f t="shared" si="11"/>
        <v>1796.4</v>
      </c>
      <c r="J112" s="3">
        <f t="shared" si="12"/>
        <v>0.40578269708606279</v>
      </c>
      <c r="K112">
        <f t="shared" si="13"/>
        <v>707.15</v>
      </c>
      <c r="L112">
        <f t="shared" si="14"/>
        <v>769.09999999999991</v>
      </c>
      <c r="M112">
        <f t="shared" si="15"/>
        <v>68.650000000000006</v>
      </c>
      <c r="N112">
        <f t="shared" si="16"/>
        <v>251.5</v>
      </c>
      <c r="O112">
        <f t="shared" si="17"/>
        <v>1476.25</v>
      </c>
      <c r="P112">
        <f t="shared" si="18"/>
        <v>320.14999999999998</v>
      </c>
    </row>
    <row r="113" spans="1:16" x14ac:dyDescent="0.35">
      <c r="A113">
        <v>837.69</v>
      </c>
      <c r="B113">
        <v>633.04</v>
      </c>
      <c r="C113">
        <v>348.36</v>
      </c>
      <c r="D113">
        <v>48.06</v>
      </c>
      <c r="E113">
        <v>649.55999999999995</v>
      </c>
      <c r="F113">
        <v>834.14</v>
      </c>
      <c r="G113">
        <v>8332</v>
      </c>
      <c r="H113" t="str">
        <f t="shared" si="10"/>
        <v>7000-8999</v>
      </c>
      <c r="I113">
        <f t="shared" si="11"/>
        <v>3350.85</v>
      </c>
      <c r="J113" s="3">
        <f t="shared" si="12"/>
        <v>0.40216634661545847</v>
      </c>
      <c r="K113">
        <f t="shared" si="13"/>
        <v>1470.73</v>
      </c>
      <c r="L113">
        <f t="shared" si="14"/>
        <v>396.42</v>
      </c>
      <c r="M113">
        <f t="shared" si="15"/>
        <v>834.14</v>
      </c>
      <c r="N113">
        <f t="shared" si="16"/>
        <v>649.55999999999995</v>
      </c>
      <c r="O113">
        <f t="shared" si="17"/>
        <v>1867.15</v>
      </c>
      <c r="P113">
        <f t="shared" si="18"/>
        <v>1483.6999999999998</v>
      </c>
    </row>
    <row r="114" spans="1:16" x14ac:dyDescent="0.35">
      <c r="A114">
        <v>319.67</v>
      </c>
      <c r="B114">
        <v>510.24</v>
      </c>
      <c r="C114">
        <v>421.67</v>
      </c>
      <c r="D114">
        <v>851.19</v>
      </c>
      <c r="E114">
        <v>21.56</v>
      </c>
      <c r="F114">
        <v>377.89</v>
      </c>
      <c r="G114">
        <v>6473</v>
      </c>
      <c r="H114" t="str">
        <f t="shared" si="10"/>
        <v>5000-6999</v>
      </c>
      <c r="I114">
        <f t="shared" si="11"/>
        <v>2502.2200000000003</v>
      </c>
      <c r="J114" s="3">
        <f t="shared" si="12"/>
        <v>0.38656264483238068</v>
      </c>
      <c r="K114">
        <f t="shared" si="13"/>
        <v>829.91000000000008</v>
      </c>
      <c r="L114">
        <f t="shared" si="14"/>
        <v>1272.8600000000001</v>
      </c>
      <c r="M114">
        <f t="shared" si="15"/>
        <v>377.89</v>
      </c>
      <c r="N114">
        <f t="shared" si="16"/>
        <v>21.56</v>
      </c>
      <c r="O114">
        <f t="shared" si="17"/>
        <v>2102.7700000000004</v>
      </c>
      <c r="P114">
        <f t="shared" si="18"/>
        <v>399.45</v>
      </c>
    </row>
    <row r="115" spans="1:16" x14ac:dyDescent="0.35">
      <c r="A115">
        <v>481.36</v>
      </c>
      <c r="B115">
        <v>142.47999999999999</v>
      </c>
      <c r="C115">
        <v>493.66</v>
      </c>
      <c r="D115">
        <v>588.1</v>
      </c>
      <c r="E115">
        <v>784.36</v>
      </c>
      <c r="F115">
        <v>814.73</v>
      </c>
      <c r="G115">
        <v>7803</v>
      </c>
      <c r="H115" t="str">
        <f t="shared" si="10"/>
        <v>7000-8999</v>
      </c>
      <c r="I115">
        <f t="shared" si="11"/>
        <v>3304.69</v>
      </c>
      <c r="J115" s="3">
        <f t="shared" si="12"/>
        <v>0.42351531462258107</v>
      </c>
      <c r="K115">
        <f t="shared" si="13"/>
        <v>623.84</v>
      </c>
      <c r="L115">
        <f t="shared" si="14"/>
        <v>1081.76</v>
      </c>
      <c r="M115">
        <f t="shared" si="15"/>
        <v>814.73</v>
      </c>
      <c r="N115">
        <f t="shared" si="16"/>
        <v>784.36</v>
      </c>
      <c r="O115">
        <f t="shared" si="17"/>
        <v>1705.6</v>
      </c>
      <c r="P115">
        <f t="shared" si="18"/>
        <v>1599.0900000000001</v>
      </c>
    </row>
    <row r="116" spans="1:16" x14ac:dyDescent="0.35">
      <c r="A116">
        <v>632.14</v>
      </c>
      <c r="B116">
        <v>332.75</v>
      </c>
      <c r="C116">
        <v>875.67</v>
      </c>
      <c r="D116">
        <v>63.47</v>
      </c>
      <c r="E116">
        <v>979.73</v>
      </c>
      <c r="F116">
        <v>85.44</v>
      </c>
      <c r="G116">
        <v>5255</v>
      </c>
      <c r="H116" t="str">
        <f t="shared" si="10"/>
        <v>5000-6999</v>
      </c>
      <c r="I116">
        <f t="shared" si="11"/>
        <v>2969.2000000000003</v>
      </c>
      <c r="J116" s="3">
        <f t="shared" si="12"/>
        <v>0.56502378686964805</v>
      </c>
      <c r="K116">
        <f t="shared" si="13"/>
        <v>964.89</v>
      </c>
      <c r="L116">
        <f t="shared" si="14"/>
        <v>939.14</v>
      </c>
      <c r="M116">
        <f t="shared" si="15"/>
        <v>85.44</v>
      </c>
      <c r="N116">
        <f t="shared" si="16"/>
        <v>979.73</v>
      </c>
      <c r="O116">
        <f t="shared" si="17"/>
        <v>1904.03</v>
      </c>
      <c r="P116">
        <f t="shared" si="18"/>
        <v>1065.17</v>
      </c>
    </row>
    <row r="117" spans="1:16" x14ac:dyDescent="0.35">
      <c r="A117">
        <v>791.08</v>
      </c>
      <c r="B117">
        <v>238.26</v>
      </c>
      <c r="C117">
        <v>369.8</v>
      </c>
      <c r="D117">
        <v>199.95</v>
      </c>
      <c r="E117">
        <v>378.52</v>
      </c>
      <c r="F117">
        <v>285.02</v>
      </c>
      <c r="G117">
        <v>4941</v>
      </c>
      <c r="H117" t="str">
        <f t="shared" si="10"/>
        <v>0-5000</v>
      </c>
      <c r="I117">
        <f t="shared" si="11"/>
        <v>2262.63</v>
      </c>
      <c r="J117" s="3">
        <f t="shared" si="12"/>
        <v>0.45792956891317549</v>
      </c>
      <c r="K117">
        <f t="shared" si="13"/>
        <v>1029.3400000000001</v>
      </c>
      <c r="L117">
        <f t="shared" si="14"/>
        <v>569.75</v>
      </c>
      <c r="M117">
        <f t="shared" si="15"/>
        <v>285.02</v>
      </c>
      <c r="N117">
        <f t="shared" si="16"/>
        <v>378.52</v>
      </c>
      <c r="O117">
        <f t="shared" si="17"/>
        <v>1599.0900000000001</v>
      </c>
      <c r="P117">
        <f t="shared" si="18"/>
        <v>663.54</v>
      </c>
    </row>
    <row r="118" spans="1:16" x14ac:dyDescent="0.35">
      <c r="A118">
        <v>747.35</v>
      </c>
      <c r="B118">
        <v>261.12</v>
      </c>
      <c r="C118">
        <v>37.92</v>
      </c>
      <c r="D118">
        <v>934.6</v>
      </c>
      <c r="E118">
        <v>770.3</v>
      </c>
      <c r="F118">
        <v>710.22</v>
      </c>
      <c r="G118">
        <v>8425</v>
      </c>
      <c r="H118" t="str">
        <f t="shared" si="10"/>
        <v>7000-8999</v>
      </c>
      <c r="I118">
        <f t="shared" si="11"/>
        <v>3461.51</v>
      </c>
      <c r="J118" s="3">
        <f t="shared" si="12"/>
        <v>0.41086172106824931</v>
      </c>
      <c r="K118">
        <f t="shared" si="13"/>
        <v>1008.47</v>
      </c>
      <c r="L118">
        <f t="shared" si="14"/>
        <v>972.52</v>
      </c>
      <c r="M118">
        <f t="shared" si="15"/>
        <v>710.22</v>
      </c>
      <c r="N118">
        <f t="shared" si="16"/>
        <v>770.3</v>
      </c>
      <c r="O118">
        <f t="shared" si="17"/>
        <v>1980.99</v>
      </c>
      <c r="P118">
        <f t="shared" si="18"/>
        <v>1480.52</v>
      </c>
    </row>
    <row r="119" spans="1:16" x14ac:dyDescent="0.35">
      <c r="A119">
        <v>675.29</v>
      </c>
      <c r="B119">
        <v>182</v>
      </c>
      <c r="C119">
        <v>805.35</v>
      </c>
      <c r="D119">
        <v>547.91999999999996</v>
      </c>
      <c r="E119">
        <v>414.81</v>
      </c>
      <c r="F119">
        <v>769.94</v>
      </c>
      <c r="G119">
        <v>8039</v>
      </c>
      <c r="H119" t="str">
        <f t="shared" si="10"/>
        <v>7000-8999</v>
      </c>
      <c r="I119">
        <f t="shared" si="11"/>
        <v>3395.31</v>
      </c>
      <c r="J119" s="3">
        <f t="shared" si="12"/>
        <v>0.42235477049384251</v>
      </c>
      <c r="K119">
        <f t="shared" si="13"/>
        <v>857.29</v>
      </c>
      <c r="L119">
        <f t="shared" si="14"/>
        <v>1353.27</v>
      </c>
      <c r="M119">
        <f t="shared" si="15"/>
        <v>769.94</v>
      </c>
      <c r="N119">
        <f t="shared" si="16"/>
        <v>414.81</v>
      </c>
      <c r="O119">
        <f t="shared" si="17"/>
        <v>2210.56</v>
      </c>
      <c r="P119">
        <f t="shared" si="18"/>
        <v>1184.75</v>
      </c>
    </row>
    <row r="120" spans="1:16" x14ac:dyDescent="0.35">
      <c r="A120">
        <v>288.31</v>
      </c>
      <c r="B120">
        <v>233.38</v>
      </c>
      <c r="C120">
        <v>936.94</v>
      </c>
      <c r="D120">
        <v>349.42</v>
      </c>
      <c r="E120">
        <v>598.62</v>
      </c>
      <c r="F120">
        <v>54.17</v>
      </c>
      <c r="G120">
        <v>4481</v>
      </c>
      <c r="H120" t="str">
        <f t="shared" si="10"/>
        <v>0-5000</v>
      </c>
      <c r="I120">
        <f t="shared" si="11"/>
        <v>2460.84</v>
      </c>
      <c r="J120" s="3">
        <f t="shared" si="12"/>
        <v>0.54917205980807859</v>
      </c>
      <c r="K120">
        <f t="shared" si="13"/>
        <v>521.69000000000005</v>
      </c>
      <c r="L120">
        <f t="shared" si="14"/>
        <v>1286.3600000000001</v>
      </c>
      <c r="M120">
        <f t="shared" si="15"/>
        <v>54.17</v>
      </c>
      <c r="N120">
        <f t="shared" si="16"/>
        <v>598.62</v>
      </c>
      <c r="O120">
        <f t="shared" si="17"/>
        <v>1808.0500000000002</v>
      </c>
      <c r="P120">
        <f t="shared" si="18"/>
        <v>652.79</v>
      </c>
    </row>
    <row r="121" spans="1:16" x14ac:dyDescent="0.35">
      <c r="A121">
        <v>411.39</v>
      </c>
      <c r="B121">
        <v>336.15</v>
      </c>
      <c r="C121">
        <v>206.56</v>
      </c>
      <c r="D121">
        <v>411.67</v>
      </c>
      <c r="E121">
        <v>502.62</v>
      </c>
      <c r="F121">
        <v>763.13</v>
      </c>
      <c r="G121">
        <v>6831</v>
      </c>
      <c r="H121" t="str">
        <f t="shared" si="10"/>
        <v>5000-6999</v>
      </c>
      <c r="I121">
        <f t="shared" si="11"/>
        <v>2631.52</v>
      </c>
      <c r="J121" s="3">
        <f t="shared" si="12"/>
        <v>0.38523203044942173</v>
      </c>
      <c r="K121">
        <f t="shared" si="13"/>
        <v>747.54</v>
      </c>
      <c r="L121">
        <f t="shared" si="14"/>
        <v>618.23</v>
      </c>
      <c r="M121">
        <f t="shared" si="15"/>
        <v>763.13</v>
      </c>
      <c r="N121">
        <f t="shared" si="16"/>
        <v>502.62</v>
      </c>
      <c r="O121">
        <f t="shared" si="17"/>
        <v>1365.77</v>
      </c>
      <c r="P121">
        <f t="shared" si="18"/>
        <v>1265.75</v>
      </c>
    </row>
    <row r="122" spans="1:16" x14ac:dyDescent="0.35">
      <c r="A122">
        <v>983.4</v>
      </c>
      <c r="B122">
        <v>583.08000000000004</v>
      </c>
      <c r="C122">
        <v>544.15</v>
      </c>
      <c r="D122">
        <v>443.14</v>
      </c>
      <c r="E122">
        <v>791</v>
      </c>
      <c r="F122">
        <v>864.11</v>
      </c>
      <c r="G122">
        <v>10049</v>
      </c>
      <c r="H122" t="str">
        <f t="shared" si="10"/>
        <v>9000+</v>
      </c>
      <c r="I122">
        <f t="shared" si="11"/>
        <v>4208.88</v>
      </c>
      <c r="J122" s="3">
        <f t="shared" si="12"/>
        <v>0.41883570504527817</v>
      </c>
      <c r="K122">
        <f t="shared" si="13"/>
        <v>1566.48</v>
      </c>
      <c r="L122">
        <f t="shared" si="14"/>
        <v>987.29</v>
      </c>
      <c r="M122">
        <f t="shared" si="15"/>
        <v>864.11</v>
      </c>
      <c r="N122">
        <f t="shared" si="16"/>
        <v>791</v>
      </c>
      <c r="O122">
        <f t="shared" si="17"/>
        <v>2553.77</v>
      </c>
      <c r="P122">
        <f t="shared" si="18"/>
        <v>1655.1100000000001</v>
      </c>
    </row>
    <row r="123" spans="1:16" x14ac:dyDescent="0.35">
      <c r="A123">
        <v>536.33000000000004</v>
      </c>
      <c r="B123">
        <v>759.45</v>
      </c>
      <c r="C123">
        <v>451.21</v>
      </c>
      <c r="D123">
        <v>653.83000000000004</v>
      </c>
      <c r="E123">
        <v>614.91999999999996</v>
      </c>
      <c r="F123">
        <v>160.29</v>
      </c>
      <c r="G123">
        <v>7044</v>
      </c>
      <c r="H123" t="str">
        <f t="shared" si="10"/>
        <v>7000-8999</v>
      </c>
      <c r="I123">
        <f t="shared" si="11"/>
        <v>3176.03</v>
      </c>
      <c r="J123" s="3">
        <f t="shared" si="12"/>
        <v>0.45088444065871669</v>
      </c>
      <c r="K123">
        <f t="shared" si="13"/>
        <v>1295.7800000000002</v>
      </c>
      <c r="L123">
        <f t="shared" si="14"/>
        <v>1105.04</v>
      </c>
      <c r="M123">
        <f t="shared" si="15"/>
        <v>160.29</v>
      </c>
      <c r="N123">
        <f t="shared" si="16"/>
        <v>614.91999999999996</v>
      </c>
      <c r="O123">
        <f t="shared" si="17"/>
        <v>2400.8200000000002</v>
      </c>
      <c r="P123">
        <f t="shared" si="18"/>
        <v>775.20999999999992</v>
      </c>
    </row>
    <row r="124" spans="1:16" x14ac:dyDescent="0.35">
      <c r="A124">
        <v>250.42</v>
      </c>
      <c r="B124">
        <v>727.86</v>
      </c>
      <c r="C124">
        <v>310.57</v>
      </c>
      <c r="D124">
        <v>360.1</v>
      </c>
      <c r="E124">
        <v>267.08999999999997</v>
      </c>
      <c r="F124">
        <v>389.7</v>
      </c>
      <c r="G124">
        <v>5931</v>
      </c>
      <c r="H124" t="str">
        <f t="shared" si="10"/>
        <v>5000-6999</v>
      </c>
      <c r="I124">
        <f t="shared" si="11"/>
        <v>2305.7399999999998</v>
      </c>
      <c r="J124" s="3">
        <f t="shared" si="12"/>
        <v>0.3887607486090035</v>
      </c>
      <c r="K124">
        <f t="shared" si="13"/>
        <v>978.28</v>
      </c>
      <c r="L124">
        <f t="shared" si="14"/>
        <v>670.67000000000007</v>
      </c>
      <c r="M124">
        <f t="shared" si="15"/>
        <v>389.7</v>
      </c>
      <c r="N124">
        <f t="shared" si="16"/>
        <v>267.08999999999997</v>
      </c>
      <c r="O124">
        <f t="shared" si="17"/>
        <v>1648.95</v>
      </c>
      <c r="P124">
        <f t="shared" si="18"/>
        <v>656.79</v>
      </c>
    </row>
    <row r="125" spans="1:16" x14ac:dyDescent="0.35">
      <c r="A125">
        <v>775.64</v>
      </c>
      <c r="B125">
        <v>605.6</v>
      </c>
      <c r="C125">
        <v>605.67999999999995</v>
      </c>
      <c r="D125">
        <v>189.84</v>
      </c>
      <c r="E125">
        <v>732.13</v>
      </c>
      <c r="F125">
        <v>923.42</v>
      </c>
      <c r="G125">
        <v>9318</v>
      </c>
      <c r="H125" t="str">
        <f t="shared" si="10"/>
        <v>9000+</v>
      </c>
      <c r="I125">
        <f t="shared" si="11"/>
        <v>3832.3100000000004</v>
      </c>
      <c r="J125" s="3">
        <f t="shared" si="12"/>
        <v>0.41128031766473494</v>
      </c>
      <c r="K125">
        <f t="shared" si="13"/>
        <v>1381.24</v>
      </c>
      <c r="L125">
        <f t="shared" si="14"/>
        <v>795.52</v>
      </c>
      <c r="M125">
        <f t="shared" si="15"/>
        <v>923.42</v>
      </c>
      <c r="N125">
        <f t="shared" si="16"/>
        <v>732.13</v>
      </c>
      <c r="O125">
        <f t="shared" si="17"/>
        <v>2176.7600000000002</v>
      </c>
      <c r="P125">
        <f t="shared" si="18"/>
        <v>1655.55</v>
      </c>
    </row>
    <row r="126" spans="1:16" x14ac:dyDescent="0.35">
      <c r="A126">
        <v>297.55</v>
      </c>
      <c r="B126">
        <v>132.32</v>
      </c>
      <c r="C126">
        <v>771.99</v>
      </c>
      <c r="D126">
        <v>810.67</v>
      </c>
      <c r="E126">
        <v>480.55</v>
      </c>
      <c r="F126">
        <v>280.3</v>
      </c>
      <c r="G126">
        <v>5881</v>
      </c>
      <c r="H126" t="str">
        <f t="shared" si="10"/>
        <v>5000-6999</v>
      </c>
      <c r="I126">
        <f t="shared" si="11"/>
        <v>2773.3800000000006</v>
      </c>
      <c r="J126" s="3">
        <f t="shared" si="12"/>
        <v>0.47158306410474421</v>
      </c>
      <c r="K126">
        <f t="shared" si="13"/>
        <v>429.87</v>
      </c>
      <c r="L126">
        <f t="shared" si="14"/>
        <v>1582.6599999999999</v>
      </c>
      <c r="M126">
        <f t="shared" si="15"/>
        <v>280.3</v>
      </c>
      <c r="N126">
        <f t="shared" si="16"/>
        <v>480.55</v>
      </c>
      <c r="O126">
        <f t="shared" si="17"/>
        <v>2012.5299999999997</v>
      </c>
      <c r="P126">
        <f t="shared" si="18"/>
        <v>760.85</v>
      </c>
    </row>
    <row r="127" spans="1:16" x14ac:dyDescent="0.35">
      <c r="A127">
        <v>394.3</v>
      </c>
      <c r="B127">
        <v>741.23</v>
      </c>
      <c r="C127">
        <v>353.72</v>
      </c>
      <c r="D127">
        <v>320.02999999999997</v>
      </c>
      <c r="E127">
        <v>956.05</v>
      </c>
      <c r="F127">
        <v>436.94</v>
      </c>
      <c r="G127">
        <v>7231</v>
      </c>
      <c r="H127" t="str">
        <f t="shared" si="10"/>
        <v>7000-8999</v>
      </c>
      <c r="I127">
        <f t="shared" si="11"/>
        <v>3202.27</v>
      </c>
      <c r="J127" s="3">
        <f t="shared" si="12"/>
        <v>0.4428529940533813</v>
      </c>
      <c r="K127">
        <f t="shared" si="13"/>
        <v>1135.53</v>
      </c>
      <c r="L127">
        <f t="shared" si="14"/>
        <v>673.75</v>
      </c>
      <c r="M127">
        <f t="shared" si="15"/>
        <v>436.94</v>
      </c>
      <c r="N127">
        <f t="shared" si="16"/>
        <v>956.05</v>
      </c>
      <c r="O127">
        <f t="shared" si="17"/>
        <v>1809.28</v>
      </c>
      <c r="P127">
        <f t="shared" si="18"/>
        <v>1392.99</v>
      </c>
    </row>
    <row r="128" spans="1:16" x14ac:dyDescent="0.35">
      <c r="A128">
        <v>375.35</v>
      </c>
      <c r="B128">
        <v>860.54</v>
      </c>
      <c r="C128">
        <v>694.24</v>
      </c>
      <c r="D128">
        <v>408.09</v>
      </c>
      <c r="E128">
        <v>61.92</v>
      </c>
      <c r="F128">
        <v>325.88</v>
      </c>
      <c r="G128">
        <v>6763</v>
      </c>
      <c r="H128" t="str">
        <f t="shared" si="10"/>
        <v>5000-6999</v>
      </c>
      <c r="I128">
        <f t="shared" si="11"/>
        <v>2726.02</v>
      </c>
      <c r="J128" s="3">
        <f t="shared" si="12"/>
        <v>0.40307851545172263</v>
      </c>
      <c r="K128">
        <f t="shared" si="13"/>
        <v>1235.8899999999999</v>
      </c>
      <c r="L128">
        <f t="shared" si="14"/>
        <v>1102.33</v>
      </c>
      <c r="M128">
        <f t="shared" si="15"/>
        <v>325.88</v>
      </c>
      <c r="N128">
        <f t="shared" si="16"/>
        <v>61.92</v>
      </c>
      <c r="O128">
        <f t="shared" si="17"/>
        <v>2338.2199999999998</v>
      </c>
      <c r="P128">
        <f t="shared" si="18"/>
        <v>387.8</v>
      </c>
    </row>
    <row r="129" spans="1:16" x14ac:dyDescent="0.35">
      <c r="A129">
        <v>341.92</v>
      </c>
      <c r="B129">
        <v>886.64</v>
      </c>
      <c r="C129">
        <v>355.31</v>
      </c>
      <c r="D129">
        <v>663.6</v>
      </c>
      <c r="E129">
        <v>278.87</v>
      </c>
      <c r="F129">
        <v>718.15</v>
      </c>
      <c r="G129">
        <v>8737</v>
      </c>
      <c r="H129" t="str">
        <f t="shared" si="10"/>
        <v>7000-8999</v>
      </c>
      <c r="I129">
        <f t="shared" si="11"/>
        <v>3244.49</v>
      </c>
      <c r="J129" s="3">
        <f t="shared" si="12"/>
        <v>0.37135057800160237</v>
      </c>
      <c r="K129">
        <f t="shared" si="13"/>
        <v>1228.56</v>
      </c>
      <c r="L129">
        <f t="shared" si="14"/>
        <v>1018.9100000000001</v>
      </c>
      <c r="M129">
        <f t="shared" si="15"/>
        <v>718.15</v>
      </c>
      <c r="N129">
        <f t="shared" si="16"/>
        <v>278.87</v>
      </c>
      <c r="O129">
        <f t="shared" si="17"/>
        <v>2247.4700000000003</v>
      </c>
      <c r="P129">
        <f t="shared" si="18"/>
        <v>997.02</v>
      </c>
    </row>
    <row r="130" spans="1:16" x14ac:dyDescent="0.35">
      <c r="A130">
        <v>318.73</v>
      </c>
      <c r="B130">
        <v>858.87</v>
      </c>
      <c r="C130">
        <v>896.81</v>
      </c>
      <c r="D130">
        <v>485.14</v>
      </c>
      <c r="E130">
        <v>929.73</v>
      </c>
      <c r="F130">
        <v>459.97</v>
      </c>
      <c r="G130">
        <v>8724</v>
      </c>
      <c r="H130" t="str">
        <f t="shared" si="10"/>
        <v>7000-8999</v>
      </c>
      <c r="I130">
        <f t="shared" si="11"/>
        <v>3949.25</v>
      </c>
      <c r="J130" s="3">
        <f t="shared" si="12"/>
        <v>0.45268798716185238</v>
      </c>
      <c r="K130">
        <f t="shared" si="13"/>
        <v>1177.5999999999999</v>
      </c>
      <c r="L130">
        <f t="shared" si="14"/>
        <v>1381.9499999999998</v>
      </c>
      <c r="M130">
        <f t="shared" si="15"/>
        <v>459.97</v>
      </c>
      <c r="N130">
        <f t="shared" si="16"/>
        <v>929.73</v>
      </c>
      <c r="O130">
        <f t="shared" si="17"/>
        <v>2559.5499999999997</v>
      </c>
      <c r="P130">
        <f t="shared" si="18"/>
        <v>1389.7</v>
      </c>
    </row>
    <row r="131" spans="1:16" x14ac:dyDescent="0.35">
      <c r="A131">
        <v>972.28</v>
      </c>
      <c r="B131">
        <v>816.97</v>
      </c>
      <c r="C131">
        <v>430.3</v>
      </c>
      <c r="D131">
        <v>401.46</v>
      </c>
      <c r="E131">
        <v>555.19000000000005</v>
      </c>
      <c r="F131">
        <v>351.3</v>
      </c>
      <c r="G131">
        <v>8130</v>
      </c>
      <c r="H131" t="str">
        <f t="shared" ref="H131:H194" si="19">IF(G131&lt;5000,"0-5000",IF(G131&lt;7000,"5000-6999",IF(G131&lt;9000,"7000-8999","9000+")))</f>
        <v>7000-8999</v>
      </c>
      <c r="I131">
        <f t="shared" ref="I131:I194" si="20">A131+B131+C131+D131+E131+F131</f>
        <v>3527.5000000000005</v>
      </c>
      <c r="J131" s="3">
        <f t="shared" ref="J131:J194" si="21">I131/G131</f>
        <v>0.43388683886838875</v>
      </c>
      <c r="K131">
        <f t="shared" ref="K131:K194" si="22">A131+B131</f>
        <v>1789.25</v>
      </c>
      <c r="L131">
        <f t="shared" ref="L131:L194" si="23">C131+D131</f>
        <v>831.76</v>
      </c>
      <c r="M131">
        <f t="shared" ref="M131:M194" si="24">F131</f>
        <v>351.3</v>
      </c>
      <c r="N131">
        <f t="shared" ref="N131:N194" si="25">E131</f>
        <v>555.19000000000005</v>
      </c>
      <c r="O131">
        <f t="shared" ref="O131:O194" si="26">K131+L131</f>
        <v>2621.0100000000002</v>
      </c>
      <c r="P131">
        <f t="shared" ref="P131:P194" si="27">M131+N131</f>
        <v>906.49</v>
      </c>
    </row>
    <row r="132" spans="1:16" x14ac:dyDescent="0.35">
      <c r="A132">
        <v>350.3</v>
      </c>
      <c r="B132">
        <v>185.3</v>
      </c>
      <c r="C132">
        <v>353.98</v>
      </c>
      <c r="D132">
        <v>574.66</v>
      </c>
      <c r="E132">
        <v>1.1000000000000001</v>
      </c>
      <c r="F132">
        <v>860.7</v>
      </c>
      <c r="G132">
        <v>6678</v>
      </c>
      <c r="H132" t="str">
        <f t="shared" si="19"/>
        <v>5000-6999</v>
      </c>
      <c r="I132">
        <f t="shared" si="20"/>
        <v>2326.04</v>
      </c>
      <c r="J132" s="3">
        <f t="shared" si="21"/>
        <v>0.34831386642707396</v>
      </c>
      <c r="K132">
        <f t="shared" si="22"/>
        <v>535.6</v>
      </c>
      <c r="L132">
        <f t="shared" si="23"/>
        <v>928.64</v>
      </c>
      <c r="M132">
        <f t="shared" si="24"/>
        <v>860.7</v>
      </c>
      <c r="N132">
        <f t="shared" si="25"/>
        <v>1.1000000000000001</v>
      </c>
      <c r="O132">
        <f t="shared" si="26"/>
        <v>1464.24</v>
      </c>
      <c r="P132">
        <f t="shared" si="27"/>
        <v>861.80000000000007</v>
      </c>
    </row>
    <row r="133" spans="1:16" x14ac:dyDescent="0.35">
      <c r="A133">
        <v>520.95000000000005</v>
      </c>
      <c r="B133">
        <v>278.31</v>
      </c>
      <c r="C133">
        <v>634.73</v>
      </c>
      <c r="D133">
        <v>510.64</v>
      </c>
      <c r="E133">
        <v>449.85</v>
      </c>
      <c r="F133">
        <v>413.95</v>
      </c>
      <c r="G133">
        <v>6281</v>
      </c>
      <c r="H133" t="str">
        <f t="shared" si="19"/>
        <v>5000-6999</v>
      </c>
      <c r="I133">
        <f t="shared" si="20"/>
        <v>2808.43</v>
      </c>
      <c r="J133" s="3">
        <f t="shared" si="21"/>
        <v>0.44713103009074984</v>
      </c>
      <c r="K133">
        <f t="shared" si="22"/>
        <v>799.26</v>
      </c>
      <c r="L133">
        <f t="shared" si="23"/>
        <v>1145.3699999999999</v>
      </c>
      <c r="M133">
        <f t="shared" si="24"/>
        <v>413.95</v>
      </c>
      <c r="N133">
        <f t="shared" si="25"/>
        <v>449.85</v>
      </c>
      <c r="O133">
        <f t="shared" si="26"/>
        <v>1944.6299999999999</v>
      </c>
      <c r="P133">
        <f t="shared" si="27"/>
        <v>863.8</v>
      </c>
    </row>
    <row r="134" spans="1:16" x14ac:dyDescent="0.35">
      <c r="A134">
        <v>642.75</v>
      </c>
      <c r="B134">
        <v>878.1</v>
      </c>
      <c r="C134">
        <v>999.23</v>
      </c>
      <c r="D134">
        <v>662.46</v>
      </c>
      <c r="E134">
        <v>117.02</v>
      </c>
      <c r="F134">
        <v>454.2</v>
      </c>
      <c r="G134">
        <v>9006</v>
      </c>
      <c r="H134" t="str">
        <f t="shared" si="19"/>
        <v>9000+</v>
      </c>
      <c r="I134">
        <f t="shared" si="20"/>
        <v>3753.7599999999998</v>
      </c>
      <c r="J134" s="3">
        <f t="shared" si="21"/>
        <v>0.41680657339551408</v>
      </c>
      <c r="K134">
        <f t="shared" si="22"/>
        <v>1520.85</v>
      </c>
      <c r="L134">
        <f t="shared" si="23"/>
        <v>1661.69</v>
      </c>
      <c r="M134">
        <f t="shared" si="24"/>
        <v>454.2</v>
      </c>
      <c r="N134">
        <f t="shared" si="25"/>
        <v>117.02</v>
      </c>
      <c r="O134">
        <f t="shared" si="26"/>
        <v>3182.54</v>
      </c>
      <c r="P134">
        <f t="shared" si="27"/>
        <v>571.22</v>
      </c>
    </row>
    <row r="135" spans="1:16" x14ac:dyDescent="0.35">
      <c r="A135">
        <v>383.91</v>
      </c>
      <c r="B135">
        <v>864.55</v>
      </c>
      <c r="C135">
        <v>673.49</v>
      </c>
      <c r="D135">
        <v>809.05</v>
      </c>
      <c r="E135">
        <v>927.93</v>
      </c>
      <c r="F135">
        <v>318.49</v>
      </c>
      <c r="G135">
        <v>8776</v>
      </c>
      <c r="H135" t="str">
        <f t="shared" si="19"/>
        <v>7000-8999</v>
      </c>
      <c r="I135">
        <f t="shared" si="20"/>
        <v>3977.42</v>
      </c>
      <c r="J135" s="3">
        <f t="shared" si="21"/>
        <v>0.45321558796718325</v>
      </c>
      <c r="K135">
        <f t="shared" si="22"/>
        <v>1248.46</v>
      </c>
      <c r="L135">
        <f t="shared" si="23"/>
        <v>1482.54</v>
      </c>
      <c r="M135">
        <f t="shared" si="24"/>
        <v>318.49</v>
      </c>
      <c r="N135">
        <f t="shared" si="25"/>
        <v>927.93</v>
      </c>
      <c r="O135">
        <f t="shared" si="26"/>
        <v>2731</v>
      </c>
      <c r="P135">
        <f t="shared" si="27"/>
        <v>1246.42</v>
      </c>
    </row>
    <row r="136" spans="1:16" x14ac:dyDescent="0.35">
      <c r="A136">
        <v>427.73</v>
      </c>
      <c r="B136">
        <v>791.7</v>
      </c>
      <c r="C136">
        <v>179.24</v>
      </c>
      <c r="D136">
        <v>487.63</v>
      </c>
      <c r="E136">
        <v>901.61</v>
      </c>
      <c r="F136">
        <v>211.18</v>
      </c>
      <c r="G136">
        <v>6657</v>
      </c>
      <c r="H136" t="str">
        <f t="shared" si="19"/>
        <v>5000-6999</v>
      </c>
      <c r="I136">
        <f t="shared" si="20"/>
        <v>2999.09</v>
      </c>
      <c r="J136" s="3">
        <f t="shared" si="21"/>
        <v>0.4505167492864654</v>
      </c>
      <c r="K136">
        <f t="shared" si="22"/>
        <v>1219.43</v>
      </c>
      <c r="L136">
        <f t="shared" si="23"/>
        <v>666.87</v>
      </c>
      <c r="M136">
        <f t="shared" si="24"/>
        <v>211.18</v>
      </c>
      <c r="N136">
        <f t="shared" si="25"/>
        <v>901.61</v>
      </c>
      <c r="O136">
        <f t="shared" si="26"/>
        <v>1886.3000000000002</v>
      </c>
      <c r="P136">
        <f t="shared" si="27"/>
        <v>1112.79</v>
      </c>
    </row>
    <row r="137" spans="1:16" x14ac:dyDescent="0.35">
      <c r="A137">
        <v>377.42</v>
      </c>
      <c r="B137">
        <v>813.58</v>
      </c>
      <c r="C137">
        <v>167.37</v>
      </c>
      <c r="D137">
        <v>588.21</v>
      </c>
      <c r="E137">
        <v>966.39</v>
      </c>
      <c r="F137">
        <v>532.65</v>
      </c>
      <c r="G137">
        <v>8198</v>
      </c>
      <c r="H137" t="str">
        <f t="shared" si="19"/>
        <v>7000-8999</v>
      </c>
      <c r="I137">
        <f t="shared" si="20"/>
        <v>3445.62</v>
      </c>
      <c r="J137" s="3">
        <f t="shared" si="21"/>
        <v>0.42030007318858259</v>
      </c>
      <c r="K137">
        <f t="shared" si="22"/>
        <v>1191</v>
      </c>
      <c r="L137">
        <f t="shared" si="23"/>
        <v>755.58</v>
      </c>
      <c r="M137">
        <f t="shared" si="24"/>
        <v>532.65</v>
      </c>
      <c r="N137">
        <f t="shared" si="25"/>
        <v>966.39</v>
      </c>
      <c r="O137">
        <f t="shared" si="26"/>
        <v>1946.58</v>
      </c>
      <c r="P137">
        <f t="shared" si="27"/>
        <v>1499.04</v>
      </c>
    </row>
    <row r="138" spans="1:16" x14ac:dyDescent="0.35">
      <c r="A138">
        <v>767.6</v>
      </c>
      <c r="B138">
        <v>819.62</v>
      </c>
      <c r="C138">
        <v>663.57</v>
      </c>
      <c r="D138">
        <v>144.69</v>
      </c>
      <c r="E138">
        <v>342.12</v>
      </c>
      <c r="F138">
        <v>262.48</v>
      </c>
      <c r="G138">
        <v>6802</v>
      </c>
      <c r="H138" t="str">
        <f t="shared" si="19"/>
        <v>5000-6999</v>
      </c>
      <c r="I138">
        <f t="shared" si="20"/>
        <v>3000.08</v>
      </c>
      <c r="J138" s="3">
        <f t="shared" si="21"/>
        <v>0.44105851220229342</v>
      </c>
      <c r="K138">
        <f t="shared" si="22"/>
        <v>1587.22</v>
      </c>
      <c r="L138">
        <f t="shared" si="23"/>
        <v>808.26</v>
      </c>
      <c r="M138">
        <f t="shared" si="24"/>
        <v>262.48</v>
      </c>
      <c r="N138">
        <f t="shared" si="25"/>
        <v>342.12</v>
      </c>
      <c r="O138">
        <f t="shared" si="26"/>
        <v>2395.48</v>
      </c>
      <c r="P138">
        <f t="shared" si="27"/>
        <v>604.6</v>
      </c>
    </row>
    <row r="139" spans="1:16" x14ac:dyDescent="0.35">
      <c r="A139">
        <v>670.26</v>
      </c>
      <c r="B139">
        <v>56.23</v>
      </c>
      <c r="C139">
        <v>487.73</v>
      </c>
      <c r="D139">
        <v>679.19</v>
      </c>
      <c r="E139">
        <v>179.2</v>
      </c>
      <c r="F139">
        <v>789.95</v>
      </c>
      <c r="G139">
        <v>7331</v>
      </c>
      <c r="H139" t="str">
        <f t="shared" si="19"/>
        <v>7000-8999</v>
      </c>
      <c r="I139">
        <f t="shared" si="20"/>
        <v>2862.5600000000004</v>
      </c>
      <c r="J139" s="3">
        <f t="shared" si="21"/>
        <v>0.39047333242395316</v>
      </c>
      <c r="K139">
        <f t="shared" si="22"/>
        <v>726.49</v>
      </c>
      <c r="L139">
        <f t="shared" si="23"/>
        <v>1166.92</v>
      </c>
      <c r="M139">
        <f t="shared" si="24"/>
        <v>789.95</v>
      </c>
      <c r="N139">
        <f t="shared" si="25"/>
        <v>179.2</v>
      </c>
      <c r="O139">
        <f t="shared" si="26"/>
        <v>1893.41</v>
      </c>
      <c r="P139">
        <f t="shared" si="27"/>
        <v>969.15000000000009</v>
      </c>
    </row>
    <row r="140" spans="1:16" x14ac:dyDescent="0.35">
      <c r="A140">
        <v>447.56</v>
      </c>
      <c r="B140">
        <v>727.43</v>
      </c>
      <c r="C140">
        <v>144.06</v>
      </c>
      <c r="D140">
        <v>317.25</v>
      </c>
      <c r="E140">
        <v>251.04</v>
      </c>
      <c r="F140">
        <v>981.17</v>
      </c>
      <c r="G140">
        <v>8313</v>
      </c>
      <c r="H140" t="str">
        <f t="shared" si="19"/>
        <v>7000-8999</v>
      </c>
      <c r="I140">
        <f t="shared" si="20"/>
        <v>2868.5099999999998</v>
      </c>
      <c r="J140" s="3">
        <f t="shared" si="21"/>
        <v>0.3450631540959942</v>
      </c>
      <c r="K140">
        <f t="shared" si="22"/>
        <v>1174.99</v>
      </c>
      <c r="L140">
        <f t="shared" si="23"/>
        <v>461.31</v>
      </c>
      <c r="M140">
        <f t="shared" si="24"/>
        <v>981.17</v>
      </c>
      <c r="N140">
        <f t="shared" si="25"/>
        <v>251.04</v>
      </c>
      <c r="O140">
        <f t="shared" si="26"/>
        <v>1636.3</v>
      </c>
      <c r="P140">
        <f t="shared" si="27"/>
        <v>1232.21</v>
      </c>
    </row>
    <row r="141" spans="1:16" x14ac:dyDescent="0.35">
      <c r="A141">
        <v>14.03</v>
      </c>
      <c r="B141">
        <v>659.34</v>
      </c>
      <c r="C141">
        <v>112.32</v>
      </c>
      <c r="D141">
        <v>425.96</v>
      </c>
      <c r="E141">
        <v>998.3</v>
      </c>
      <c r="F141">
        <v>936.46</v>
      </c>
      <c r="G141">
        <v>8178</v>
      </c>
      <c r="H141" t="str">
        <f t="shared" si="19"/>
        <v>7000-8999</v>
      </c>
      <c r="I141">
        <f t="shared" si="20"/>
        <v>3146.41</v>
      </c>
      <c r="J141" s="3">
        <f t="shared" si="21"/>
        <v>0.38474076791391537</v>
      </c>
      <c r="K141">
        <f t="shared" si="22"/>
        <v>673.37</v>
      </c>
      <c r="L141">
        <f t="shared" si="23"/>
        <v>538.28</v>
      </c>
      <c r="M141">
        <f t="shared" si="24"/>
        <v>936.46</v>
      </c>
      <c r="N141">
        <f t="shared" si="25"/>
        <v>998.3</v>
      </c>
      <c r="O141">
        <f t="shared" si="26"/>
        <v>1211.6500000000001</v>
      </c>
      <c r="P141">
        <f t="shared" si="27"/>
        <v>1934.76</v>
      </c>
    </row>
    <row r="142" spans="1:16" x14ac:dyDescent="0.35">
      <c r="A142">
        <v>632.92999999999995</v>
      </c>
      <c r="B142">
        <v>653.66</v>
      </c>
      <c r="C142">
        <v>251.56</v>
      </c>
      <c r="D142">
        <v>734</v>
      </c>
      <c r="E142">
        <v>879.12</v>
      </c>
      <c r="F142">
        <v>138.78</v>
      </c>
      <c r="G142">
        <v>7048</v>
      </c>
      <c r="H142" t="str">
        <f t="shared" si="19"/>
        <v>7000-8999</v>
      </c>
      <c r="I142">
        <f t="shared" si="20"/>
        <v>3290.0499999999997</v>
      </c>
      <c r="J142" s="3">
        <f t="shared" si="21"/>
        <v>0.46680618615209984</v>
      </c>
      <c r="K142">
        <f t="shared" si="22"/>
        <v>1286.5899999999999</v>
      </c>
      <c r="L142">
        <f t="shared" si="23"/>
        <v>985.56</v>
      </c>
      <c r="M142">
        <f t="shared" si="24"/>
        <v>138.78</v>
      </c>
      <c r="N142">
        <f t="shared" si="25"/>
        <v>879.12</v>
      </c>
      <c r="O142">
        <f t="shared" si="26"/>
        <v>2272.1499999999996</v>
      </c>
      <c r="P142">
        <f t="shared" si="27"/>
        <v>1017.9</v>
      </c>
    </row>
    <row r="143" spans="1:16" x14ac:dyDescent="0.35">
      <c r="A143">
        <v>961.72</v>
      </c>
      <c r="B143">
        <v>801.42</v>
      </c>
      <c r="C143">
        <v>247.44</v>
      </c>
      <c r="D143">
        <v>562.54</v>
      </c>
      <c r="E143">
        <v>772.64</v>
      </c>
      <c r="F143">
        <v>762.27</v>
      </c>
      <c r="G143">
        <v>10094</v>
      </c>
      <c r="H143" t="str">
        <f t="shared" si="19"/>
        <v>9000+</v>
      </c>
      <c r="I143">
        <f t="shared" si="20"/>
        <v>4108.03</v>
      </c>
      <c r="J143" s="3">
        <f t="shared" si="21"/>
        <v>0.40697741232415291</v>
      </c>
      <c r="K143">
        <f t="shared" si="22"/>
        <v>1763.1399999999999</v>
      </c>
      <c r="L143">
        <f t="shared" si="23"/>
        <v>809.98</v>
      </c>
      <c r="M143">
        <f t="shared" si="24"/>
        <v>762.27</v>
      </c>
      <c r="N143">
        <f t="shared" si="25"/>
        <v>772.64</v>
      </c>
      <c r="O143">
        <f t="shared" si="26"/>
        <v>2573.12</v>
      </c>
      <c r="P143">
        <f t="shared" si="27"/>
        <v>1534.9099999999999</v>
      </c>
    </row>
    <row r="144" spans="1:16" x14ac:dyDescent="0.35">
      <c r="A144">
        <v>677.28</v>
      </c>
      <c r="B144">
        <v>651.75</v>
      </c>
      <c r="C144">
        <v>68.23</v>
      </c>
      <c r="D144">
        <v>569.20000000000005</v>
      </c>
      <c r="E144">
        <v>100.51</v>
      </c>
      <c r="F144">
        <v>515.51</v>
      </c>
      <c r="G144">
        <v>7003</v>
      </c>
      <c r="H144" t="str">
        <f t="shared" si="19"/>
        <v>7000-8999</v>
      </c>
      <c r="I144">
        <f t="shared" si="20"/>
        <v>2582.4800000000005</v>
      </c>
      <c r="J144" s="3">
        <f t="shared" si="21"/>
        <v>0.36876767099814373</v>
      </c>
      <c r="K144">
        <f t="shared" si="22"/>
        <v>1329.03</v>
      </c>
      <c r="L144">
        <f t="shared" si="23"/>
        <v>637.43000000000006</v>
      </c>
      <c r="M144">
        <f t="shared" si="24"/>
        <v>515.51</v>
      </c>
      <c r="N144">
        <f t="shared" si="25"/>
        <v>100.51</v>
      </c>
      <c r="O144">
        <f t="shared" si="26"/>
        <v>1966.46</v>
      </c>
      <c r="P144">
        <f t="shared" si="27"/>
        <v>616.02</v>
      </c>
    </row>
    <row r="145" spans="1:16" x14ac:dyDescent="0.35">
      <c r="A145">
        <v>8.84</v>
      </c>
      <c r="B145">
        <v>416.59</v>
      </c>
      <c r="C145">
        <v>716</v>
      </c>
      <c r="D145">
        <v>949.21</v>
      </c>
      <c r="E145">
        <v>624.59</v>
      </c>
      <c r="F145">
        <v>623.30999999999995</v>
      </c>
      <c r="G145">
        <v>7966</v>
      </c>
      <c r="H145" t="str">
        <f t="shared" si="19"/>
        <v>7000-8999</v>
      </c>
      <c r="I145">
        <f t="shared" si="20"/>
        <v>3338.54</v>
      </c>
      <c r="J145" s="3">
        <f t="shared" si="21"/>
        <v>0.41909866934471501</v>
      </c>
      <c r="K145">
        <f t="shared" si="22"/>
        <v>425.42999999999995</v>
      </c>
      <c r="L145">
        <f t="shared" si="23"/>
        <v>1665.21</v>
      </c>
      <c r="M145">
        <f t="shared" si="24"/>
        <v>623.30999999999995</v>
      </c>
      <c r="N145">
        <f t="shared" si="25"/>
        <v>624.59</v>
      </c>
      <c r="O145">
        <f t="shared" si="26"/>
        <v>2090.64</v>
      </c>
      <c r="P145">
        <f t="shared" si="27"/>
        <v>1247.9000000000001</v>
      </c>
    </row>
    <row r="146" spans="1:16" x14ac:dyDescent="0.35">
      <c r="A146">
        <v>269.45999999999998</v>
      </c>
      <c r="B146">
        <v>304.74</v>
      </c>
      <c r="C146">
        <v>221.85</v>
      </c>
      <c r="D146">
        <v>57.73</v>
      </c>
      <c r="E146">
        <v>669.73</v>
      </c>
      <c r="F146">
        <v>641.67999999999995</v>
      </c>
      <c r="G146">
        <v>5292</v>
      </c>
      <c r="H146" t="str">
        <f t="shared" si="19"/>
        <v>5000-6999</v>
      </c>
      <c r="I146">
        <f t="shared" si="20"/>
        <v>2165.19</v>
      </c>
      <c r="J146" s="3">
        <f t="shared" si="21"/>
        <v>0.40914399092970521</v>
      </c>
      <c r="K146">
        <f t="shared" si="22"/>
        <v>574.20000000000005</v>
      </c>
      <c r="L146">
        <f t="shared" si="23"/>
        <v>279.58</v>
      </c>
      <c r="M146">
        <f t="shared" si="24"/>
        <v>641.67999999999995</v>
      </c>
      <c r="N146">
        <f t="shared" si="25"/>
        <v>669.73</v>
      </c>
      <c r="O146">
        <f t="shared" si="26"/>
        <v>853.78</v>
      </c>
      <c r="P146">
        <f t="shared" si="27"/>
        <v>1311.4099999999999</v>
      </c>
    </row>
    <row r="147" spans="1:16" x14ac:dyDescent="0.35">
      <c r="A147">
        <v>1.04</v>
      </c>
      <c r="B147">
        <v>19.68</v>
      </c>
      <c r="C147">
        <v>900.71</v>
      </c>
      <c r="D147">
        <v>55.67</v>
      </c>
      <c r="E147">
        <v>379.03</v>
      </c>
      <c r="F147">
        <v>63.1</v>
      </c>
      <c r="G147">
        <v>2259</v>
      </c>
      <c r="H147" t="str">
        <f t="shared" si="19"/>
        <v>0-5000</v>
      </c>
      <c r="I147">
        <f t="shared" si="20"/>
        <v>1419.23</v>
      </c>
      <c r="J147" s="3">
        <f t="shared" si="21"/>
        <v>0.62825586542718015</v>
      </c>
      <c r="K147">
        <f t="shared" si="22"/>
        <v>20.72</v>
      </c>
      <c r="L147">
        <f t="shared" si="23"/>
        <v>956.38</v>
      </c>
      <c r="M147">
        <f t="shared" si="24"/>
        <v>63.1</v>
      </c>
      <c r="N147">
        <f t="shared" si="25"/>
        <v>379.03</v>
      </c>
      <c r="O147">
        <f t="shared" si="26"/>
        <v>977.1</v>
      </c>
      <c r="P147">
        <f t="shared" si="27"/>
        <v>442.13</v>
      </c>
    </row>
    <row r="148" spans="1:16" x14ac:dyDescent="0.35">
      <c r="A148">
        <v>236.32</v>
      </c>
      <c r="B148">
        <v>172.26</v>
      </c>
      <c r="C148">
        <v>936.65</v>
      </c>
      <c r="D148">
        <v>48.26</v>
      </c>
      <c r="E148">
        <v>293.02999999999997</v>
      </c>
      <c r="F148">
        <v>582.58000000000004</v>
      </c>
      <c r="G148">
        <v>5191</v>
      </c>
      <c r="H148" t="str">
        <f t="shared" si="19"/>
        <v>5000-6999</v>
      </c>
      <c r="I148">
        <f t="shared" si="20"/>
        <v>2269.1</v>
      </c>
      <c r="J148" s="3">
        <f t="shared" si="21"/>
        <v>0.4371219418223849</v>
      </c>
      <c r="K148">
        <f t="shared" si="22"/>
        <v>408.58</v>
      </c>
      <c r="L148">
        <f t="shared" si="23"/>
        <v>984.91</v>
      </c>
      <c r="M148">
        <f t="shared" si="24"/>
        <v>582.58000000000004</v>
      </c>
      <c r="N148">
        <f t="shared" si="25"/>
        <v>293.02999999999997</v>
      </c>
      <c r="O148">
        <f t="shared" si="26"/>
        <v>1393.49</v>
      </c>
      <c r="P148">
        <f t="shared" si="27"/>
        <v>875.61</v>
      </c>
    </row>
    <row r="149" spans="1:16" x14ac:dyDescent="0.35">
      <c r="A149">
        <v>639.02</v>
      </c>
      <c r="B149">
        <v>873.2</v>
      </c>
      <c r="C149">
        <v>972.38</v>
      </c>
      <c r="D149">
        <v>961.58</v>
      </c>
      <c r="E149">
        <v>761.14</v>
      </c>
      <c r="F149">
        <v>307.13</v>
      </c>
      <c r="G149">
        <v>9889</v>
      </c>
      <c r="H149" t="str">
        <f t="shared" si="19"/>
        <v>9000+</v>
      </c>
      <c r="I149">
        <f t="shared" si="20"/>
        <v>4514.45</v>
      </c>
      <c r="J149" s="3">
        <f t="shared" si="21"/>
        <v>0.4565122863788047</v>
      </c>
      <c r="K149">
        <f t="shared" si="22"/>
        <v>1512.22</v>
      </c>
      <c r="L149">
        <f t="shared" si="23"/>
        <v>1933.96</v>
      </c>
      <c r="M149">
        <f t="shared" si="24"/>
        <v>307.13</v>
      </c>
      <c r="N149">
        <f t="shared" si="25"/>
        <v>761.14</v>
      </c>
      <c r="O149">
        <f t="shared" si="26"/>
        <v>3446.1800000000003</v>
      </c>
      <c r="P149">
        <f t="shared" si="27"/>
        <v>1068.27</v>
      </c>
    </row>
    <row r="150" spans="1:16" x14ac:dyDescent="0.35">
      <c r="A150">
        <v>846.02</v>
      </c>
      <c r="B150">
        <v>919.07</v>
      </c>
      <c r="C150">
        <v>403.48</v>
      </c>
      <c r="D150">
        <v>429.08</v>
      </c>
      <c r="E150">
        <v>24.8</v>
      </c>
      <c r="F150">
        <v>632.37</v>
      </c>
      <c r="G150">
        <v>8687</v>
      </c>
      <c r="H150" t="str">
        <f t="shared" si="19"/>
        <v>7000-8999</v>
      </c>
      <c r="I150">
        <f t="shared" si="20"/>
        <v>3254.82</v>
      </c>
      <c r="J150" s="3">
        <f t="shared" si="21"/>
        <v>0.37467710371819962</v>
      </c>
      <c r="K150">
        <f t="shared" si="22"/>
        <v>1765.0900000000001</v>
      </c>
      <c r="L150">
        <f t="shared" si="23"/>
        <v>832.56</v>
      </c>
      <c r="M150">
        <f t="shared" si="24"/>
        <v>632.37</v>
      </c>
      <c r="N150">
        <f t="shared" si="25"/>
        <v>24.8</v>
      </c>
      <c r="O150">
        <f t="shared" si="26"/>
        <v>2597.65</v>
      </c>
      <c r="P150">
        <f t="shared" si="27"/>
        <v>657.17</v>
      </c>
    </row>
    <row r="151" spans="1:16" x14ac:dyDescent="0.35">
      <c r="A151">
        <v>330.77</v>
      </c>
      <c r="B151">
        <v>248.54</v>
      </c>
      <c r="C151">
        <v>161.30000000000001</v>
      </c>
      <c r="D151">
        <v>779.52</v>
      </c>
      <c r="E151">
        <v>310.61</v>
      </c>
      <c r="F151">
        <v>661.73</v>
      </c>
      <c r="G151">
        <v>6613</v>
      </c>
      <c r="H151" t="str">
        <f t="shared" si="19"/>
        <v>5000-6999</v>
      </c>
      <c r="I151">
        <f t="shared" si="20"/>
        <v>2492.4699999999998</v>
      </c>
      <c r="J151" s="3">
        <f t="shared" si="21"/>
        <v>0.37690458188416753</v>
      </c>
      <c r="K151">
        <f t="shared" si="22"/>
        <v>579.30999999999995</v>
      </c>
      <c r="L151">
        <f t="shared" si="23"/>
        <v>940.81999999999994</v>
      </c>
      <c r="M151">
        <f t="shared" si="24"/>
        <v>661.73</v>
      </c>
      <c r="N151">
        <f t="shared" si="25"/>
        <v>310.61</v>
      </c>
      <c r="O151">
        <f t="shared" si="26"/>
        <v>1520.1299999999999</v>
      </c>
      <c r="P151">
        <f t="shared" si="27"/>
        <v>972.34</v>
      </c>
    </row>
    <row r="152" spans="1:16" x14ac:dyDescent="0.35">
      <c r="A152">
        <v>533.6</v>
      </c>
      <c r="B152">
        <v>633.38</v>
      </c>
      <c r="C152">
        <v>605.78</v>
      </c>
      <c r="D152">
        <v>906.55</v>
      </c>
      <c r="E152">
        <v>332.73</v>
      </c>
      <c r="F152">
        <v>312.64</v>
      </c>
      <c r="G152">
        <v>7784</v>
      </c>
      <c r="H152" t="str">
        <f t="shared" si="19"/>
        <v>7000-8999</v>
      </c>
      <c r="I152">
        <f t="shared" si="20"/>
        <v>3324.68</v>
      </c>
      <c r="J152" s="3">
        <f t="shared" si="21"/>
        <v>0.42711716341212741</v>
      </c>
      <c r="K152">
        <f t="shared" si="22"/>
        <v>1166.98</v>
      </c>
      <c r="L152">
        <f t="shared" si="23"/>
        <v>1512.33</v>
      </c>
      <c r="M152">
        <f t="shared" si="24"/>
        <v>312.64</v>
      </c>
      <c r="N152">
        <f t="shared" si="25"/>
        <v>332.73</v>
      </c>
      <c r="O152">
        <f t="shared" si="26"/>
        <v>2679.31</v>
      </c>
      <c r="P152">
        <f t="shared" si="27"/>
        <v>645.37</v>
      </c>
    </row>
    <row r="153" spans="1:16" x14ac:dyDescent="0.35">
      <c r="A153">
        <v>16.190000000000001</v>
      </c>
      <c r="B153">
        <v>678.98</v>
      </c>
      <c r="C153">
        <v>522.04999999999995</v>
      </c>
      <c r="D153">
        <v>644.91</v>
      </c>
      <c r="E153">
        <v>41.61</v>
      </c>
      <c r="F153">
        <v>743.54</v>
      </c>
      <c r="G153">
        <v>7455</v>
      </c>
      <c r="H153" t="str">
        <f t="shared" si="19"/>
        <v>7000-8999</v>
      </c>
      <c r="I153">
        <f t="shared" si="20"/>
        <v>2647.2799999999997</v>
      </c>
      <c r="J153" s="3">
        <f t="shared" si="21"/>
        <v>0.3551012743125419</v>
      </c>
      <c r="K153">
        <f t="shared" si="22"/>
        <v>695.17000000000007</v>
      </c>
      <c r="L153">
        <f t="shared" si="23"/>
        <v>1166.96</v>
      </c>
      <c r="M153">
        <f t="shared" si="24"/>
        <v>743.54</v>
      </c>
      <c r="N153">
        <f t="shared" si="25"/>
        <v>41.61</v>
      </c>
      <c r="O153">
        <f t="shared" si="26"/>
        <v>1862.13</v>
      </c>
      <c r="P153">
        <f t="shared" si="27"/>
        <v>785.15</v>
      </c>
    </row>
    <row r="154" spans="1:16" x14ac:dyDescent="0.35">
      <c r="A154">
        <v>259.43</v>
      </c>
      <c r="B154">
        <v>329.67</v>
      </c>
      <c r="C154">
        <v>656.14</v>
      </c>
      <c r="D154">
        <v>914.94</v>
      </c>
      <c r="E154">
        <v>703.49</v>
      </c>
      <c r="F154">
        <v>662.19</v>
      </c>
      <c r="G154">
        <v>8277</v>
      </c>
      <c r="H154" t="str">
        <f t="shared" si="19"/>
        <v>7000-8999</v>
      </c>
      <c r="I154">
        <f t="shared" si="20"/>
        <v>3525.86</v>
      </c>
      <c r="J154" s="3">
        <f t="shared" si="21"/>
        <v>0.42598284402561315</v>
      </c>
      <c r="K154">
        <f t="shared" si="22"/>
        <v>589.1</v>
      </c>
      <c r="L154">
        <f t="shared" si="23"/>
        <v>1571.08</v>
      </c>
      <c r="M154">
        <f t="shared" si="24"/>
        <v>662.19</v>
      </c>
      <c r="N154">
        <f t="shared" si="25"/>
        <v>703.49</v>
      </c>
      <c r="O154">
        <f t="shared" si="26"/>
        <v>2160.1799999999998</v>
      </c>
      <c r="P154">
        <f t="shared" si="27"/>
        <v>1365.68</v>
      </c>
    </row>
    <row r="155" spans="1:16" x14ac:dyDescent="0.35">
      <c r="A155">
        <v>875.12</v>
      </c>
      <c r="B155">
        <v>384.08</v>
      </c>
      <c r="C155">
        <v>808.14</v>
      </c>
      <c r="D155">
        <v>552.04999999999995</v>
      </c>
      <c r="E155">
        <v>616.29</v>
      </c>
      <c r="F155">
        <v>605.12</v>
      </c>
      <c r="G155">
        <v>8659</v>
      </c>
      <c r="H155" t="str">
        <f t="shared" si="19"/>
        <v>7000-8999</v>
      </c>
      <c r="I155">
        <f t="shared" si="20"/>
        <v>3840.8</v>
      </c>
      <c r="J155" s="3">
        <f t="shared" si="21"/>
        <v>0.44356161219540363</v>
      </c>
      <c r="K155">
        <f t="shared" si="22"/>
        <v>1259.2</v>
      </c>
      <c r="L155">
        <f t="shared" si="23"/>
        <v>1360.19</v>
      </c>
      <c r="M155">
        <f t="shared" si="24"/>
        <v>605.12</v>
      </c>
      <c r="N155">
        <f t="shared" si="25"/>
        <v>616.29</v>
      </c>
      <c r="O155">
        <f t="shared" si="26"/>
        <v>2619.3900000000003</v>
      </c>
      <c r="P155">
        <f t="shared" si="27"/>
        <v>1221.4099999999999</v>
      </c>
    </row>
    <row r="156" spans="1:16" x14ac:dyDescent="0.35">
      <c r="A156">
        <v>333.54</v>
      </c>
      <c r="B156">
        <v>796.11</v>
      </c>
      <c r="C156">
        <v>516.83000000000004</v>
      </c>
      <c r="D156">
        <v>794.89</v>
      </c>
      <c r="E156">
        <v>193.18</v>
      </c>
      <c r="F156">
        <v>481.94</v>
      </c>
      <c r="G156">
        <v>7970</v>
      </c>
      <c r="H156" t="str">
        <f t="shared" si="19"/>
        <v>7000-8999</v>
      </c>
      <c r="I156">
        <f t="shared" si="20"/>
        <v>3116.49</v>
      </c>
      <c r="J156" s="3">
        <f t="shared" si="21"/>
        <v>0.39102760351317439</v>
      </c>
      <c r="K156">
        <f t="shared" si="22"/>
        <v>1129.6500000000001</v>
      </c>
      <c r="L156">
        <f t="shared" si="23"/>
        <v>1311.72</v>
      </c>
      <c r="M156">
        <f t="shared" si="24"/>
        <v>481.94</v>
      </c>
      <c r="N156">
        <f t="shared" si="25"/>
        <v>193.18</v>
      </c>
      <c r="O156">
        <f t="shared" si="26"/>
        <v>2441.37</v>
      </c>
      <c r="P156">
        <f t="shared" si="27"/>
        <v>675.12</v>
      </c>
    </row>
    <row r="157" spans="1:16" x14ac:dyDescent="0.35">
      <c r="A157">
        <v>637.70000000000005</v>
      </c>
      <c r="B157">
        <v>33.549999999999997</v>
      </c>
      <c r="C157">
        <v>582.04999999999995</v>
      </c>
      <c r="D157">
        <v>753.24</v>
      </c>
      <c r="E157">
        <v>307.22000000000003</v>
      </c>
      <c r="F157">
        <v>525.67999999999995</v>
      </c>
      <c r="G157">
        <v>6595</v>
      </c>
      <c r="H157" t="str">
        <f t="shared" si="19"/>
        <v>5000-6999</v>
      </c>
      <c r="I157">
        <f t="shared" si="20"/>
        <v>2839.44</v>
      </c>
      <c r="J157" s="3">
        <f t="shared" si="21"/>
        <v>0.43054435178165279</v>
      </c>
      <c r="K157">
        <f t="shared" si="22"/>
        <v>671.25</v>
      </c>
      <c r="L157">
        <f t="shared" si="23"/>
        <v>1335.29</v>
      </c>
      <c r="M157">
        <f t="shared" si="24"/>
        <v>525.67999999999995</v>
      </c>
      <c r="N157">
        <f t="shared" si="25"/>
        <v>307.22000000000003</v>
      </c>
      <c r="O157">
        <f t="shared" si="26"/>
        <v>2006.54</v>
      </c>
      <c r="P157">
        <f t="shared" si="27"/>
        <v>832.9</v>
      </c>
    </row>
    <row r="158" spans="1:16" x14ac:dyDescent="0.35">
      <c r="A158">
        <v>670.31</v>
      </c>
      <c r="B158">
        <v>26.73</v>
      </c>
      <c r="C158">
        <v>522.02</v>
      </c>
      <c r="D158">
        <v>440.71</v>
      </c>
      <c r="E158">
        <v>105.33</v>
      </c>
      <c r="F158">
        <v>275.16000000000003</v>
      </c>
      <c r="G158">
        <v>4519</v>
      </c>
      <c r="H158" t="str">
        <f t="shared" si="19"/>
        <v>0-5000</v>
      </c>
      <c r="I158">
        <f t="shared" si="20"/>
        <v>2040.26</v>
      </c>
      <c r="J158" s="3">
        <f t="shared" si="21"/>
        <v>0.45148484177915466</v>
      </c>
      <c r="K158">
        <f t="shared" si="22"/>
        <v>697.04</v>
      </c>
      <c r="L158">
        <f t="shared" si="23"/>
        <v>962.73</v>
      </c>
      <c r="M158">
        <f t="shared" si="24"/>
        <v>275.16000000000003</v>
      </c>
      <c r="N158">
        <f t="shared" si="25"/>
        <v>105.33</v>
      </c>
      <c r="O158">
        <f t="shared" si="26"/>
        <v>1659.77</v>
      </c>
      <c r="P158">
        <f t="shared" si="27"/>
        <v>380.49</v>
      </c>
    </row>
    <row r="159" spans="1:16" x14ac:dyDescent="0.35">
      <c r="A159">
        <v>398.07</v>
      </c>
      <c r="B159">
        <v>611.35</v>
      </c>
      <c r="C159">
        <v>333.33</v>
      </c>
      <c r="D159">
        <v>160.58000000000001</v>
      </c>
      <c r="E159">
        <v>952.81</v>
      </c>
      <c r="F159">
        <v>438.19</v>
      </c>
      <c r="G159">
        <v>6430</v>
      </c>
      <c r="H159" t="str">
        <f t="shared" si="19"/>
        <v>5000-6999</v>
      </c>
      <c r="I159">
        <f t="shared" si="20"/>
        <v>2894.33</v>
      </c>
      <c r="J159" s="3">
        <f t="shared" si="21"/>
        <v>0.45012908242612754</v>
      </c>
      <c r="K159">
        <f t="shared" si="22"/>
        <v>1009.4200000000001</v>
      </c>
      <c r="L159">
        <f t="shared" si="23"/>
        <v>493.90999999999997</v>
      </c>
      <c r="M159">
        <f t="shared" si="24"/>
        <v>438.19</v>
      </c>
      <c r="N159">
        <f t="shared" si="25"/>
        <v>952.81</v>
      </c>
      <c r="O159">
        <f t="shared" si="26"/>
        <v>1503.33</v>
      </c>
      <c r="P159">
        <f t="shared" si="27"/>
        <v>1391</v>
      </c>
    </row>
    <row r="160" spans="1:16" x14ac:dyDescent="0.35">
      <c r="A160">
        <v>207.49</v>
      </c>
      <c r="B160">
        <v>417.62</v>
      </c>
      <c r="C160">
        <v>331.3</v>
      </c>
      <c r="D160">
        <v>484.32</v>
      </c>
      <c r="E160">
        <v>849.61</v>
      </c>
      <c r="F160">
        <v>845.14</v>
      </c>
      <c r="G160">
        <v>7782</v>
      </c>
      <c r="H160" t="str">
        <f t="shared" si="19"/>
        <v>7000-8999</v>
      </c>
      <c r="I160">
        <f t="shared" si="20"/>
        <v>3135.48</v>
      </c>
      <c r="J160" s="3">
        <f t="shared" si="21"/>
        <v>0.40291441788743254</v>
      </c>
      <c r="K160">
        <f t="shared" si="22"/>
        <v>625.11</v>
      </c>
      <c r="L160">
        <f t="shared" si="23"/>
        <v>815.62</v>
      </c>
      <c r="M160">
        <f t="shared" si="24"/>
        <v>845.14</v>
      </c>
      <c r="N160">
        <f t="shared" si="25"/>
        <v>849.61</v>
      </c>
      <c r="O160">
        <f t="shared" si="26"/>
        <v>1440.73</v>
      </c>
      <c r="P160">
        <f t="shared" si="27"/>
        <v>1694.75</v>
      </c>
    </row>
    <row r="161" spans="1:16" x14ac:dyDescent="0.35">
      <c r="A161">
        <v>620.28</v>
      </c>
      <c r="B161">
        <v>290.29000000000002</v>
      </c>
      <c r="C161">
        <v>118.69</v>
      </c>
      <c r="D161">
        <v>436.82</v>
      </c>
      <c r="E161">
        <v>803.95</v>
      </c>
      <c r="F161">
        <v>294.95999999999998</v>
      </c>
      <c r="G161">
        <v>5507</v>
      </c>
      <c r="H161" t="str">
        <f t="shared" si="19"/>
        <v>5000-6999</v>
      </c>
      <c r="I161">
        <f t="shared" si="20"/>
        <v>2564.9899999999998</v>
      </c>
      <c r="J161" s="3">
        <f t="shared" si="21"/>
        <v>0.46576902124568725</v>
      </c>
      <c r="K161">
        <f t="shared" si="22"/>
        <v>910.56999999999994</v>
      </c>
      <c r="L161">
        <f t="shared" si="23"/>
        <v>555.51</v>
      </c>
      <c r="M161">
        <f t="shared" si="24"/>
        <v>294.95999999999998</v>
      </c>
      <c r="N161">
        <f t="shared" si="25"/>
        <v>803.95</v>
      </c>
      <c r="O161">
        <f t="shared" si="26"/>
        <v>1466.08</v>
      </c>
      <c r="P161">
        <f t="shared" si="27"/>
        <v>1098.9100000000001</v>
      </c>
    </row>
    <row r="162" spans="1:16" x14ac:dyDescent="0.35">
      <c r="A162">
        <v>590.98</v>
      </c>
      <c r="B162">
        <v>3.63</v>
      </c>
      <c r="C162">
        <v>486.88</v>
      </c>
      <c r="D162">
        <v>95.81</v>
      </c>
      <c r="E162">
        <v>119.34</v>
      </c>
      <c r="F162">
        <v>409.45</v>
      </c>
      <c r="G162">
        <v>3956</v>
      </c>
      <c r="H162" t="str">
        <f t="shared" si="19"/>
        <v>0-5000</v>
      </c>
      <c r="I162">
        <f t="shared" si="20"/>
        <v>1706.09</v>
      </c>
      <c r="J162" s="3">
        <f t="shared" si="21"/>
        <v>0.43126643073811927</v>
      </c>
      <c r="K162">
        <f t="shared" si="22"/>
        <v>594.61</v>
      </c>
      <c r="L162">
        <f t="shared" si="23"/>
        <v>582.69000000000005</v>
      </c>
      <c r="M162">
        <f t="shared" si="24"/>
        <v>409.45</v>
      </c>
      <c r="N162">
        <f t="shared" si="25"/>
        <v>119.34</v>
      </c>
      <c r="O162">
        <f t="shared" si="26"/>
        <v>1177.3000000000002</v>
      </c>
      <c r="P162">
        <f t="shared" si="27"/>
        <v>528.79</v>
      </c>
    </row>
    <row r="163" spans="1:16" x14ac:dyDescent="0.35">
      <c r="A163">
        <v>341.21</v>
      </c>
      <c r="B163">
        <v>535.35</v>
      </c>
      <c r="C163">
        <v>820.88</v>
      </c>
      <c r="D163">
        <v>44.73</v>
      </c>
      <c r="E163">
        <v>730.23</v>
      </c>
      <c r="F163">
        <v>807.56</v>
      </c>
      <c r="G163">
        <v>7737</v>
      </c>
      <c r="H163" t="str">
        <f t="shared" si="19"/>
        <v>7000-8999</v>
      </c>
      <c r="I163">
        <f t="shared" si="20"/>
        <v>3279.96</v>
      </c>
      <c r="J163" s="3">
        <f t="shared" si="21"/>
        <v>0.42393175649476544</v>
      </c>
      <c r="K163">
        <f t="shared" si="22"/>
        <v>876.56</v>
      </c>
      <c r="L163">
        <f t="shared" si="23"/>
        <v>865.61</v>
      </c>
      <c r="M163">
        <f t="shared" si="24"/>
        <v>807.56</v>
      </c>
      <c r="N163">
        <f t="shared" si="25"/>
        <v>730.23</v>
      </c>
      <c r="O163">
        <f t="shared" si="26"/>
        <v>1742.17</v>
      </c>
      <c r="P163">
        <f t="shared" si="27"/>
        <v>1537.79</v>
      </c>
    </row>
    <row r="164" spans="1:16" x14ac:dyDescent="0.35">
      <c r="A164">
        <v>515.55999999999995</v>
      </c>
      <c r="B164">
        <v>765.58</v>
      </c>
      <c r="C164">
        <v>670.14</v>
      </c>
      <c r="D164">
        <v>79.95</v>
      </c>
      <c r="E164">
        <v>525.42999999999995</v>
      </c>
      <c r="F164">
        <v>609.28</v>
      </c>
      <c r="G164">
        <v>7585</v>
      </c>
      <c r="H164" t="str">
        <f t="shared" si="19"/>
        <v>7000-8999</v>
      </c>
      <c r="I164">
        <f t="shared" si="20"/>
        <v>3165.9399999999996</v>
      </c>
      <c r="J164" s="3">
        <f t="shared" si="21"/>
        <v>0.41739485827290701</v>
      </c>
      <c r="K164">
        <f t="shared" si="22"/>
        <v>1281.1399999999999</v>
      </c>
      <c r="L164">
        <f t="shared" si="23"/>
        <v>750.09</v>
      </c>
      <c r="M164">
        <f t="shared" si="24"/>
        <v>609.28</v>
      </c>
      <c r="N164">
        <f t="shared" si="25"/>
        <v>525.42999999999995</v>
      </c>
      <c r="O164">
        <f t="shared" si="26"/>
        <v>2031.23</v>
      </c>
      <c r="P164">
        <f t="shared" si="27"/>
        <v>1134.71</v>
      </c>
    </row>
    <row r="165" spans="1:16" x14ac:dyDescent="0.35">
      <c r="A165">
        <v>711.36</v>
      </c>
      <c r="B165">
        <v>84.09</v>
      </c>
      <c r="C165">
        <v>52.43</v>
      </c>
      <c r="D165">
        <v>907.89</v>
      </c>
      <c r="E165">
        <v>744.53</v>
      </c>
      <c r="F165">
        <v>85.62</v>
      </c>
      <c r="G165">
        <v>5279</v>
      </c>
      <c r="H165" t="str">
        <f t="shared" si="19"/>
        <v>5000-6999</v>
      </c>
      <c r="I165">
        <f t="shared" si="20"/>
        <v>2585.92</v>
      </c>
      <c r="J165" s="3">
        <f t="shared" si="21"/>
        <v>0.48985035044516007</v>
      </c>
      <c r="K165">
        <f t="shared" si="22"/>
        <v>795.45</v>
      </c>
      <c r="L165">
        <f t="shared" si="23"/>
        <v>960.31999999999994</v>
      </c>
      <c r="M165">
        <f t="shared" si="24"/>
        <v>85.62</v>
      </c>
      <c r="N165">
        <f t="shared" si="25"/>
        <v>744.53</v>
      </c>
      <c r="O165">
        <f t="shared" si="26"/>
        <v>1755.77</v>
      </c>
      <c r="P165">
        <f t="shared" si="27"/>
        <v>830.15</v>
      </c>
    </row>
    <row r="166" spans="1:16" x14ac:dyDescent="0.35">
      <c r="A166">
        <v>493.47</v>
      </c>
      <c r="B166">
        <v>326.11</v>
      </c>
      <c r="C166">
        <v>546.03</v>
      </c>
      <c r="D166">
        <v>406.79</v>
      </c>
      <c r="E166">
        <v>492.74</v>
      </c>
      <c r="F166">
        <v>610.5</v>
      </c>
      <c r="G166">
        <v>6838</v>
      </c>
      <c r="H166" t="str">
        <f t="shared" si="19"/>
        <v>5000-6999</v>
      </c>
      <c r="I166">
        <f t="shared" si="20"/>
        <v>2875.6400000000003</v>
      </c>
      <c r="J166" s="3">
        <f t="shared" si="21"/>
        <v>0.42053816905527935</v>
      </c>
      <c r="K166">
        <f t="shared" si="22"/>
        <v>819.58</v>
      </c>
      <c r="L166">
        <f t="shared" si="23"/>
        <v>952.81999999999994</v>
      </c>
      <c r="M166">
        <f t="shared" si="24"/>
        <v>610.5</v>
      </c>
      <c r="N166">
        <f t="shared" si="25"/>
        <v>492.74</v>
      </c>
      <c r="O166">
        <f t="shared" si="26"/>
        <v>1772.4</v>
      </c>
      <c r="P166">
        <f t="shared" si="27"/>
        <v>1103.24</v>
      </c>
    </row>
    <row r="167" spans="1:16" x14ac:dyDescent="0.35">
      <c r="A167">
        <v>966.54</v>
      </c>
      <c r="B167">
        <v>617.79999999999995</v>
      </c>
      <c r="C167">
        <v>850.09</v>
      </c>
      <c r="D167">
        <v>731.43</v>
      </c>
      <c r="E167">
        <v>999.83</v>
      </c>
      <c r="F167">
        <v>354.16</v>
      </c>
      <c r="G167">
        <v>9498</v>
      </c>
      <c r="H167" t="str">
        <f t="shared" si="19"/>
        <v>9000+</v>
      </c>
      <c r="I167">
        <f t="shared" si="20"/>
        <v>4519.8499999999995</v>
      </c>
      <c r="J167" s="3">
        <f t="shared" si="21"/>
        <v>0.47587386818277527</v>
      </c>
      <c r="K167">
        <f t="shared" si="22"/>
        <v>1584.34</v>
      </c>
      <c r="L167">
        <f t="shared" si="23"/>
        <v>1581.52</v>
      </c>
      <c r="M167">
        <f t="shared" si="24"/>
        <v>354.16</v>
      </c>
      <c r="N167">
        <f t="shared" si="25"/>
        <v>999.83</v>
      </c>
      <c r="O167">
        <f t="shared" si="26"/>
        <v>3165.8599999999997</v>
      </c>
      <c r="P167">
        <f t="shared" si="27"/>
        <v>1353.99</v>
      </c>
    </row>
    <row r="168" spans="1:16" x14ac:dyDescent="0.35">
      <c r="A168">
        <v>362.64</v>
      </c>
      <c r="B168">
        <v>54.75</v>
      </c>
      <c r="C168">
        <v>754.27</v>
      </c>
      <c r="D168">
        <v>888.38</v>
      </c>
      <c r="E168">
        <v>574.96</v>
      </c>
      <c r="F168">
        <v>324.74</v>
      </c>
      <c r="G168">
        <v>6238</v>
      </c>
      <c r="H168" t="str">
        <f t="shared" si="19"/>
        <v>5000-6999</v>
      </c>
      <c r="I168">
        <f t="shared" si="20"/>
        <v>2959.74</v>
      </c>
      <c r="J168" s="3">
        <f t="shared" si="21"/>
        <v>0.47446938121192689</v>
      </c>
      <c r="K168">
        <f t="shared" si="22"/>
        <v>417.39</v>
      </c>
      <c r="L168">
        <f t="shared" si="23"/>
        <v>1642.65</v>
      </c>
      <c r="M168">
        <f t="shared" si="24"/>
        <v>324.74</v>
      </c>
      <c r="N168">
        <f t="shared" si="25"/>
        <v>574.96</v>
      </c>
      <c r="O168">
        <f t="shared" si="26"/>
        <v>2060.04</v>
      </c>
      <c r="P168">
        <f t="shared" si="27"/>
        <v>899.7</v>
      </c>
    </row>
    <row r="169" spans="1:16" x14ac:dyDescent="0.35">
      <c r="A169">
        <v>251.5</v>
      </c>
      <c r="B169">
        <v>937.55</v>
      </c>
      <c r="C169">
        <v>330.19</v>
      </c>
      <c r="D169">
        <v>277.27999999999997</v>
      </c>
      <c r="E169">
        <v>411.96</v>
      </c>
      <c r="F169">
        <v>336.4</v>
      </c>
      <c r="G169">
        <v>6356</v>
      </c>
      <c r="H169" t="str">
        <f t="shared" si="19"/>
        <v>5000-6999</v>
      </c>
      <c r="I169">
        <f t="shared" si="20"/>
        <v>2544.88</v>
      </c>
      <c r="J169" s="3">
        <f t="shared" si="21"/>
        <v>0.40039018250471997</v>
      </c>
      <c r="K169">
        <f t="shared" si="22"/>
        <v>1189.05</v>
      </c>
      <c r="L169">
        <f t="shared" si="23"/>
        <v>607.47</v>
      </c>
      <c r="M169">
        <f t="shared" si="24"/>
        <v>336.4</v>
      </c>
      <c r="N169">
        <f t="shared" si="25"/>
        <v>411.96</v>
      </c>
      <c r="O169">
        <f t="shared" si="26"/>
        <v>1796.52</v>
      </c>
      <c r="P169">
        <f t="shared" si="27"/>
        <v>748.3599999999999</v>
      </c>
    </row>
    <row r="170" spans="1:16" x14ac:dyDescent="0.35">
      <c r="A170">
        <v>410.44</v>
      </c>
      <c r="B170">
        <v>608.41</v>
      </c>
      <c r="C170">
        <v>719.84</v>
      </c>
      <c r="D170">
        <v>907.29</v>
      </c>
      <c r="E170">
        <v>84.35</v>
      </c>
      <c r="F170">
        <v>681.15</v>
      </c>
      <c r="G170">
        <v>8806</v>
      </c>
      <c r="H170" t="str">
        <f t="shared" si="19"/>
        <v>7000-8999</v>
      </c>
      <c r="I170">
        <f t="shared" si="20"/>
        <v>3411.48</v>
      </c>
      <c r="J170" s="3">
        <f t="shared" si="21"/>
        <v>0.38740404269816037</v>
      </c>
      <c r="K170">
        <f t="shared" si="22"/>
        <v>1018.8499999999999</v>
      </c>
      <c r="L170">
        <f t="shared" si="23"/>
        <v>1627.13</v>
      </c>
      <c r="M170">
        <f t="shared" si="24"/>
        <v>681.15</v>
      </c>
      <c r="N170">
        <f t="shared" si="25"/>
        <v>84.35</v>
      </c>
      <c r="O170">
        <f t="shared" si="26"/>
        <v>2645.98</v>
      </c>
      <c r="P170">
        <f t="shared" si="27"/>
        <v>765.5</v>
      </c>
    </row>
    <row r="171" spans="1:16" x14ac:dyDescent="0.35">
      <c r="A171">
        <v>836.78</v>
      </c>
      <c r="B171">
        <v>395.37</v>
      </c>
      <c r="C171">
        <v>26.66</v>
      </c>
      <c r="D171">
        <v>152.38</v>
      </c>
      <c r="E171">
        <v>786.1</v>
      </c>
      <c r="F171">
        <v>738.4</v>
      </c>
      <c r="G171">
        <v>7175</v>
      </c>
      <c r="H171" t="str">
        <f t="shared" si="19"/>
        <v>7000-8999</v>
      </c>
      <c r="I171">
        <f t="shared" si="20"/>
        <v>2935.69</v>
      </c>
      <c r="J171" s="3">
        <f t="shared" si="21"/>
        <v>0.40915540069686412</v>
      </c>
      <c r="K171">
        <f t="shared" si="22"/>
        <v>1232.1500000000001</v>
      </c>
      <c r="L171">
        <f t="shared" si="23"/>
        <v>179.04</v>
      </c>
      <c r="M171">
        <f t="shared" si="24"/>
        <v>738.4</v>
      </c>
      <c r="N171">
        <f t="shared" si="25"/>
        <v>786.1</v>
      </c>
      <c r="O171">
        <f t="shared" si="26"/>
        <v>1411.19</v>
      </c>
      <c r="P171">
        <f t="shared" si="27"/>
        <v>1524.5</v>
      </c>
    </row>
    <row r="172" spans="1:16" x14ac:dyDescent="0.35">
      <c r="A172">
        <v>60.41</v>
      </c>
      <c r="B172">
        <v>884.67</v>
      </c>
      <c r="C172">
        <v>892.1</v>
      </c>
      <c r="D172">
        <v>576.07000000000005</v>
      </c>
      <c r="E172">
        <v>74.290000000000006</v>
      </c>
      <c r="F172">
        <v>704.23</v>
      </c>
      <c r="G172">
        <v>8472</v>
      </c>
      <c r="H172" t="str">
        <f t="shared" si="19"/>
        <v>7000-8999</v>
      </c>
      <c r="I172">
        <f t="shared" si="20"/>
        <v>3191.77</v>
      </c>
      <c r="J172" s="3">
        <f t="shared" si="21"/>
        <v>0.37674338999055712</v>
      </c>
      <c r="K172">
        <f t="shared" si="22"/>
        <v>945.07999999999993</v>
      </c>
      <c r="L172">
        <f t="shared" si="23"/>
        <v>1468.17</v>
      </c>
      <c r="M172">
        <f t="shared" si="24"/>
        <v>704.23</v>
      </c>
      <c r="N172">
        <f t="shared" si="25"/>
        <v>74.290000000000006</v>
      </c>
      <c r="O172">
        <f t="shared" si="26"/>
        <v>2413.25</v>
      </c>
      <c r="P172">
        <f t="shared" si="27"/>
        <v>778.52</v>
      </c>
    </row>
    <row r="173" spans="1:16" x14ac:dyDescent="0.35">
      <c r="A173">
        <v>226.56</v>
      </c>
      <c r="B173">
        <v>802.92</v>
      </c>
      <c r="C173">
        <v>55.51</v>
      </c>
      <c r="D173">
        <v>300.17</v>
      </c>
      <c r="E173">
        <v>6.18</v>
      </c>
      <c r="F173">
        <v>141.22999999999999</v>
      </c>
      <c r="G173">
        <v>4279</v>
      </c>
      <c r="H173" t="str">
        <f t="shared" si="19"/>
        <v>0-5000</v>
      </c>
      <c r="I173">
        <f t="shared" si="20"/>
        <v>1532.5700000000002</v>
      </c>
      <c r="J173" s="3">
        <f t="shared" si="21"/>
        <v>0.35816078523019401</v>
      </c>
      <c r="K173">
        <f t="shared" si="22"/>
        <v>1029.48</v>
      </c>
      <c r="L173">
        <f t="shared" si="23"/>
        <v>355.68</v>
      </c>
      <c r="M173">
        <f t="shared" si="24"/>
        <v>141.22999999999999</v>
      </c>
      <c r="N173">
        <f t="shared" si="25"/>
        <v>6.18</v>
      </c>
      <c r="O173">
        <f t="shared" si="26"/>
        <v>1385.16</v>
      </c>
      <c r="P173">
        <f t="shared" si="27"/>
        <v>147.41</v>
      </c>
    </row>
    <row r="174" spans="1:16" x14ac:dyDescent="0.35">
      <c r="A174">
        <v>117.94</v>
      </c>
      <c r="B174">
        <v>635.13</v>
      </c>
      <c r="C174">
        <v>238.6</v>
      </c>
      <c r="D174">
        <v>364.03</v>
      </c>
      <c r="E174">
        <v>324.37</v>
      </c>
      <c r="F174">
        <v>497.95</v>
      </c>
      <c r="G174">
        <v>5787</v>
      </c>
      <c r="H174" t="str">
        <f t="shared" si="19"/>
        <v>5000-6999</v>
      </c>
      <c r="I174">
        <f t="shared" si="20"/>
        <v>2178.0199999999995</v>
      </c>
      <c r="J174" s="3">
        <f t="shared" si="21"/>
        <v>0.3763642647312942</v>
      </c>
      <c r="K174">
        <f t="shared" si="22"/>
        <v>753.06999999999994</v>
      </c>
      <c r="L174">
        <f t="shared" si="23"/>
        <v>602.63</v>
      </c>
      <c r="M174">
        <f t="shared" si="24"/>
        <v>497.95</v>
      </c>
      <c r="N174">
        <f t="shared" si="25"/>
        <v>324.37</v>
      </c>
      <c r="O174">
        <f t="shared" si="26"/>
        <v>1355.6999999999998</v>
      </c>
      <c r="P174">
        <f t="shared" si="27"/>
        <v>822.31999999999994</v>
      </c>
    </row>
    <row r="175" spans="1:16" x14ac:dyDescent="0.35">
      <c r="A175">
        <v>590.38</v>
      </c>
      <c r="B175">
        <v>541.99</v>
      </c>
      <c r="C175">
        <v>468.96</v>
      </c>
      <c r="D175">
        <v>559.48</v>
      </c>
      <c r="E175">
        <v>688.64</v>
      </c>
      <c r="F175">
        <v>271.45999999999998</v>
      </c>
      <c r="G175">
        <v>6827</v>
      </c>
      <c r="H175" t="str">
        <f t="shared" si="19"/>
        <v>5000-6999</v>
      </c>
      <c r="I175">
        <f t="shared" si="20"/>
        <v>3120.91</v>
      </c>
      <c r="J175" s="3">
        <f t="shared" si="21"/>
        <v>0.45714222938333088</v>
      </c>
      <c r="K175">
        <f t="shared" si="22"/>
        <v>1132.3699999999999</v>
      </c>
      <c r="L175">
        <f t="shared" si="23"/>
        <v>1028.44</v>
      </c>
      <c r="M175">
        <f t="shared" si="24"/>
        <v>271.45999999999998</v>
      </c>
      <c r="N175">
        <f t="shared" si="25"/>
        <v>688.64</v>
      </c>
      <c r="O175">
        <f t="shared" si="26"/>
        <v>2160.81</v>
      </c>
      <c r="P175">
        <f t="shared" si="27"/>
        <v>960.09999999999991</v>
      </c>
    </row>
    <row r="176" spans="1:16" x14ac:dyDescent="0.35">
      <c r="A176">
        <v>255.61</v>
      </c>
      <c r="B176">
        <v>637.59</v>
      </c>
      <c r="C176">
        <v>496.61</v>
      </c>
      <c r="D176">
        <v>203.09</v>
      </c>
      <c r="E176">
        <v>614.44000000000005</v>
      </c>
      <c r="F176">
        <v>206.61</v>
      </c>
      <c r="G176">
        <v>5235</v>
      </c>
      <c r="H176" t="str">
        <f t="shared" si="19"/>
        <v>5000-6999</v>
      </c>
      <c r="I176">
        <f t="shared" si="20"/>
        <v>2413.9500000000003</v>
      </c>
      <c r="J176" s="3">
        <f t="shared" si="21"/>
        <v>0.46111747851002871</v>
      </c>
      <c r="K176">
        <f t="shared" si="22"/>
        <v>893.2</v>
      </c>
      <c r="L176">
        <f t="shared" si="23"/>
        <v>699.7</v>
      </c>
      <c r="M176">
        <f t="shared" si="24"/>
        <v>206.61</v>
      </c>
      <c r="N176">
        <f t="shared" si="25"/>
        <v>614.44000000000005</v>
      </c>
      <c r="O176">
        <f t="shared" si="26"/>
        <v>1592.9</v>
      </c>
      <c r="P176">
        <f t="shared" si="27"/>
        <v>821.05000000000007</v>
      </c>
    </row>
    <row r="177" spans="1:16" x14ac:dyDescent="0.35">
      <c r="A177">
        <v>428.43</v>
      </c>
      <c r="B177">
        <v>12.55</v>
      </c>
      <c r="C177">
        <v>145.97</v>
      </c>
      <c r="D177">
        <v>512.33000000000004</v>
      </c>
      <c r="E177">
        <v>853.58</v>
      </c>
      <c r="F177">
        <v>196.52</v>
      </c>
      <c r="G177">
        <v>4212</v>
      </c>
      <c r="H177" t="str">
        <f t="shared" si="19"/>
        <v>0-5000</v>
      </c>
      <c r="I177">
        <f t="shared" si="20"/>
        <v>2149.38</v>
      </c>
      <c r="J177" s="3">
        <f t="shared" si="21"/>
        <v>0.51029914529914533</v>
      </c>
      <c r="K177">
        <f t="shared" si="22"/>
        <v>440.98</v>
      </c>
      <c r="L177">
        <f t="shared" si="23"/>
        <v>658.30000000000007</v>
      </c>
      <c r="M177">
        <f t="shared" si="24"/>
        <v>196.52</v>
      </c>
      <c r="N177">
        <f t="shared" si="25"/>
        <v>853.58</v>
      </c>
      <c r="O177">
        <f t="shared" si="26"/>
        <v>1099.2800000000002</v>
      </c>
      <c r="P177">
        <f t="shared" si="27"/>
        <v>1050.1000000000001</v>
      </c>
    </row>
    <row r="178" spans="1:16" x14ac:dyDescent="0.35">
      <c r="A178">
        <v>149.78</v>
      </c>
      <c r="B178">
        <v>191.97</v>
      </c>
      <c r="C178">
        <v>558.87</v>
      </c>
      <c r="D178">
        <v>172.98</v>
      </c>
      <c r="E178">
        <v>412.79</v>
      </c>
      <c r="F178">
        <v>178.45</v>
      </c>
      <c r="G178">
        <v>3335</v>
      </c>
      <c r="H178" t="str">
        <f t="shared" si="19"/>
        <v>0-5000</v>
      </c>
      <c r="I178">
        <f t="shared" si="20"/>
        <v>1664.84</v>
      </c>
      <c r="J178" s="3">
        <f t="shared" si="21"/>
        <v>0.49920239880059969</v>
      </c>
      <c r="K178">
        <f t="shared" si="22"/>
        <v>341.75</v>
      </c>
      <c r="L178">
        <f t="shared" si="23"/>
        <v>731.85</v>
      </c>
      <c r="M178">
        <f t="shared" si="24"/>
        <v>178.45</v>
      </c>
      <c r="N178">
        <f t="shared" si="25"/>
        <v>412.79</v>
      </c>
      <c r="O178">
        <f t="shared" si="26"/>
        <v>1073.5999999999999</v>
      </c>
      <c r="P178">
        <f t="shared" si="27"/>
        <v>591.24</v>
      </c>
    </row>
    <row r="179" spans="1:16" x14ac:dyDescent="0.35">
      <c r="A179">
        <v>328.07</v>
      </c>
      <c r="B179">
        <v>782.75</v>
      </c>
      <c r="C179">
        <v>172.69</v>
      </c>
      <c r="D179">
        <v>313.47000000000003</v>
      </c>
      <c r="E179">
        <v>124.85</v>
      </c>
      <c r="F179">
        <v>453.17</v>
      </c>
      <c r="G179">
        <v>6026</v>
      </c>
      <c r="H179" t="str">
        <f t="shared" si="19"/>
        <v>5000-6999</v>
      </c>
      <c r="I179">
        <f t="shared" si="20"/>
        <v>2175</v>
      </c>
      <c r="J179" s="3">
        <f t="shared" si="21"/>
        <v>0.36093594424161962</v>
      </c>
      <c r="K179">
        <f t="shared" si="22"/>
        <v>1110.82</v>
      </c>
      <c r="L179">
        <f t="shared" si="23"/>
        <v>486.16</v>
      </c>
      <c r="M179">
        <f t="shared" si="24"/>
        <v>453.17</v>
      </c>
      <c r="N179">
        <f t="shared" si="25"/>
        <v>124.85</v>
      </c>
      <c r="O179">
        <f t="shared" si="26"/>
        <v>1596.98</v>
      </c>
      <c r="P179">
        <f t="shared" si="27"/>
        <v>578.02</v>
      </c>
    </row>
    <row r="180" spans="1:16" x14ac:dyDescent="0.35">
      <c r="A180">
        <v>795.28</v>
      </c>
      <c r="B180">
        <v>970.21</v>
      </c>
      <c r="C180">
        <v>968.39</v>
      </c>
      <c r="D180">
        <v>857.64</v>
      </c>
      <c r="E180">
        <v>255.73</v>
      </c>
      <c r="F180">
        <v>149.38999999999999</v>
      </c>
      <c r="G180">
        <v>9011</v>
      </c>
      <c r="H180" t="str">
        <f t="shared" si="19"/>
        <v>9000+</v>
      </c>
      <c r="I180">
        <f t="shared" si="20"/>
        <v>3996.64</v>
      </c>
      <c r="J180" s="3">
        <f t="shared" si="21"/>
        <v>0.44352902008656087</v>
      </c>
      <c r="K180">
        <f t="shared" si="22"/>
        <v>1765.49</v>
      </c>
      <c r="L180">
        <f t="shared" si="23"/>
        <v>1826.03</v>
      </c>
      <c r="M180">
        <f t="shared" si="24"/>
        <v>149.38999999999999</v>
      </c>
      <c r="N180">
        <f t="shared" si="25"/>
        <v>255.73</v>
      </c>
      <c r="O180">
        <f t="shared" si="26"/>
        <v>3591.52</v>
      </c>
      <c r="P180">
        <f t="shared" si="27"/>
        <v>405.12</v>
      </c>
    </row>
    <row r="181" spans="1:16" x14ac:dyDescent="0.35">
      <c r="A181">
        <v>72.75</v>
      </c>
      <c r="B181">
        <v>880.44</v>
      </c>
      <c r="C181">
        <v>239.08</v>
      </c>
      <c r="D181">
        <v>949.07</v>
      </c>
      <c r="E181">
        <v>902.65</v>
      </c>
      <c r="F181">
        <v>148.75</v>
      </c>
      <c r="G181">
        <v>7192</v>
      </c>
      <c r="H181" t="str">
        <f t="shared" si="19"/>
        <v>7000-8999</v>
      </c>
      <c r="I181">
        <f t="shared" si="20"/>
        <v>3192.7400000000002</v>
      </c>
      <c r="J181" s="3">
        <f t="shared" si="21"/>
        <v>0.44392936596218024</v>
      </c>
      <c r="K181">
        <f t="shared" si="22"/>
        <v>953.19</v>
      </c>
      <c r="L181">
        <f t="shared" si="23"/>
        <v>1188.1500000000001</v>
      </c>
      <c r="M181">
        <f t="shared" si="24"/>
        <v>148.75</v>
      </c>
      <c r="N181">
        <f t="shared" si="25"/>
        <v>902.65</v>
      </c>
      <c r="O181">
        <f t="shared" si="26"/>
        <v>2141.34</v>
      </c>
      <c r="P181">
        <f t="shared" si="27"/>
        <v>1051.4000000000001</v>
      </c>
    </row>
    <row r="182" spans="1:16" x14ac:dyDescent="0.35">
      <c r="A182">
        <v>132.99</v>
      </c>
      <c r="B182">
        <v>757.7</v>
      </c>
      <c r="C182">
        <v>167.64</v>
      </c>
      <c r="D182">
        <v>230.73</v>
      </c>
      <c r="E182">
        <v>297.79000000000002</v>
      </c>
      <c r="F182">
        <v>886.06</v>
      </c>
      <c r="G182">
        <v>7282</v>
      </c>
      <c r="H182" t="str">
        <f t="shared" si="19"/>
        <v>7000-8999</v>
      </c>
      <c r="I182">
        <f t="shared" si="20"/>
        <v>2472.91</v>
      </c>
      <c r="J182" s="3">
        <f t="shared" si="21"/>
        <v>0.33959214501510571</v>
      </c>
      <c r="K182">
        <f t="shared" si="22"/>
        <v>890.69</v>
      </c>
      <c r="L182">
        <f t="shared" si="23"/>
        <v>398.37</v>
      </c>
      <c r="M182">
        <f t="shared" si="24"/>
        <v>886.06</v>
      </c>
      <c r="N182">
        <f t="shared" si="25"/>
        <v>297.79000000000002</v>
      </c>
      <c r="O182">
        <f t="shared" si="26"/>
        <v>1289.06</v>
      </c>
      <c r="P182">
        <f t="shared" si="27"/>
        <v>1183.8499999999999</v>
      </c>
    </row>
    <row r="183" spans="1:16" x14ac:dyDescent="0.35">
      <c r="A183">
        <v>284</v>
      </c>
      <c r="B183">
        <v>556.77</v>
      </c>
      <c r="C183">
        <v>96.05</v>
      </c>
      <c r="D183">
        <v>116.79</v>
      </c>
      <c r="E183">
        <v>694.57</v>
      </c>
      <c r="F183">
        <v>559.16</v>
      </c>
      <c r="G183">
        <v>5744</v>
      </c>
      <c r="H183" t="str">
        <f t="shared" si="19"/>
        <v>5000-6999</v>
      </c>
      <c r="I183">
        <f t="shared" si="20"/>
        <v>2307.3399999999997</v>
      </c>
      <c r="J183" s="3">
        <f t="shared" si="21"/>
        <v>0.40169568245125342</v>
      </c>
      <c r="K183">
        <f t="shared" si="22"/>
        <v>840.77</v>
      </c>
      <c r="L183">
        <f t="shared" si="23"/>
        <v>212.84</v>
      </c>
      <c r="M183">
        <f t="shared" si="24"/>
        <v>559.16</v>
      </c>
      <c r="N183">
        <f t="shared" si="25"/>
        <v>694.57</v>
      </c>
      <c r="O183">
        <f t="shared" si="26"/>
        <v>1053.6099999999999</v>
      </c>
      <c r="P183">
        <f t="shared" si="27"/>
        <v>1253.73</v>
      </c>
    </row>
    <row r="184" spans="1:16" x14ac:dyDescent="0.35">
      <c r="A184">
        <v>36.04</v>
      </c>
      <c r="B184">
        <v>925.81</v>
      </c>
      <c r="C184">
        <v>822.63</v>
      </c>
      <c r="D184">
        <v>531.66999999999996</v>
      </c>
      <c r="E184">
        <v>57.51</v>
      </c>
      <c r="F184">
        <v>218.46</v>
      </c>
      <c r="G184">
        <v>6348</v>
      </c>
      <c r="H184" t="str">
        <f t="shared" si="19"/>
        <v>5000-6999</v>
      </c>
      <c r="I184">
        <f t="shared" si="20"/>
        <v>2592.1200000000003</v>
      </c>
      <c r="J184" s="3">
        <f t="shared" si="21"/>
        <v>0.4083364839319471</v>
      </c>
      <c r="K184">
        <f t="shared" si="22"/>
        <v>961.84999999999991</v>
      </c>
      <c r="L184">
        <f t="shared" si="23"/>
        <v>1354.3</v>
      </c>
      <c r="M184">
        <f t="shared" si="24"/>
        <v>218.46</v>
      </c>
      <c r="N184">
        <f t="shared" si="25"/>
        <v>57.51</v>
      </c>
      <c r="O184">
        <f t="shared" si="26"/>
        <v>2316.1499999999996</v>
      </c>
      <c r="P184">
        <f t="shared" si="27"/>
        <v>275.97000000000003</v>
      </c>
    </row>
    <row r="185" spans="1:16" x14ac:dyDescent="0.35">
      <c r="A185">
        <v>599.91999999999996</v>
      </c>
      <c r="B185">
        <v>832.48</v>
      </c>
      <c r="C185">
        <v>116.6</v>
      </c>
      <c r="D185">
        <v>296.04000000000002</v>
      </c>
      <c r="E185">
        <v>970.38</v>
      </c>
      <c r="F185">
        <v>415.97</v>
      </c>
      <c r="G185">
        <v>7425</v>
      </c>
      <c r="H185" t="str">
        <f t="shared" si="19"/>
        <v>7000-8999</v>
      </c>
      <c r="I185">
        <f t="shared" si="20"/>
        <v>3231.3900000000003</v>
      </c>
      <c r="J185" s="3">
        <f t="shared" si="21"/>
        <v>0.43520404040404043</v>
      </c>
      <c r="K185">
        <f t="shared" si="22"/>
        <v>1432.4</v>
      </c>
      <c r="L185">
        <f t="shared" si="23"/>
        <v>412.64</v>
      </c>
      <c r="M185">
        <f t="shared" si="24"/>
        <v>415.97</v>
      </c>
      <c r="N185">
        <f t="shared" si="25"/>
        <v>970.38</v>
      </c>
      <c r="O185">
        <f t="shared" si="26"/>
        <v>1845.04</v>
      </c>
      <c r="P185">
        <f t="shared" si="27"/>
        <v>1386.35</v>
      </c>
    </row>
    <row r="186" spans="1:16" x14ac:dyDescent="0.35">
      <c r="A186">
        <v>994.4</v>
      </c>
      <c r="B186">
        <v>785.92</v>
      </c>
      <c r="C186">
        <v>159.25</v>
      </c>
      <c r="D186">
        <v>381.83</v>
      </c>
      <c r="E186">
        <v>296.66000000000003</v>
      </c>
      <c r="F186">
        <v>892.39</v>
      </c>
      <c r="G186">
        <v>9473</v>
      </c>
      <c r="H186" t="str">
        <f t="shared" si="19"/>
        <v>9000+</v>
      </c>
      <c r="I186">
        <f t="shared" si="20"/>
        <v>3510.45</v>
      </c>
      <c r="J186" s="3">
        <f t="shared" si="21"/>
        <v>0.3705742636968225</v>
      </c>
      <c r="K186">
        <f t="shared" si="22"/>
        <v>1780.32</v>
      </c>
      <c r="L186">
        <f t="shared" si="23"/>
        <v>541.07999999999993</v>
      </c>
      <c r="M186">
        <f t="shared" si="24"/>
        <v>892.39</v>
      </c>
      <c r="N186">
        <f t="shared" si="25"/>
        <v>296.66000000000003</v>
      </c>
      <c r="O186">
        <f t="shared" si="26"/>
        <v>2321.3999999999996</v>
      </c>
      <c r="P186">
        <f t="shared" si="27"/>
        <v>1189.05</v>
      </c>
    </row>
    <row r="187" spans="1:16" x14ac:dyDescent="0.35">
      <c r="A187">
        <v>36.04</v>
      </c>
      <c r="B187">
        <v>423.25</v>
      </c>
      <c r="C187">
        <v>166.91</v>
      </c>
      <c r="D187">
        <v>222.02</v>
      </c>
      <c r="E187">
        <v>598.42999999999995</v>
      </c>
      <c r="F187">
        <v>247.19</v>
      </c>
      <c r="G187">
        <v>3878</v>
      </c>
      <c r="H187" t="str">
        <f t="shared" si="19"/>
        <v>0-5000</v>
      </c>
      <c r="I187">
        <f t="shared" si="20"/>
        <v>1693.8400000000001</v>
      </c>
      <c r="J187" s="3">
        <f t="shared" si="21"/>
        <v>0.43678184631253225</v>
      </c>
      <c r="K187">
        <f t="shared" si="22"/>
        <v>459.29</v>
      </c>
      <c r="L187">
        <f t="shared" si="23"/>
        <v>388.93</v>
      </c>
      <c r="M187">
        <f t="shared" si="24"/>
        <v>247.19</v>
      </c>
      <c r="N187">
        <f t="shared" si="25"/>
        <v>598.42999999999995</v>
      </c>
      <c r="O187">
        <f t="shared" si="26"/>
        <v>848.22</v>
      </c>
      <c r="P187">
        <f t="shared" si="27"/>
        <v>845.61999999999989</v>
      </c>
    </row>
    <row r="188" spans="1:16" x14ac:dyDescent="0.35">
      <c r="A188">
        <v>475.17</v>
      </c>
      <c r="B188">
        <v>380.97</v>
      </c>
      <c r="C188">
        <v>460.06</v>
      </c>
      <c r="D188">
        <v>642.39</v>
      </c>
      <c r="E188">
        <v>220</v>
      </c>
      <c r="F188">
        <v>376.2</v>
      </c>
      <c r="G188">
        <v>6144</v>
      </c>
      <c r="H188" t="str">
        <f t="shared" si="19"/>
        <v>5000-6999</v>
      </c>
      <c r="I188">
        <f t="shared" si="20"/>
        <v>2554.79</v>
      </c>
      <c r="J188" s="3">
        <f t="shared" si="21"/>
        <v>0.41581868489583335</v>
      </c>
      <c r="K188">
        <f t="shared" si="22"/>
        <v>856.1400000000001</v>
      </c>
      <c r="L188">
        <f t="shared" si="23"/>
        <v>1102.45</v>
      </c>
      <c r="M188">
        <f t="shared" si="24"/>
        <v>376.2</v>
      </c>
      <c r="N188">
        <f t="shared" si="25"/>
        <v>220</v>
      </c>
      <c r="O188">
        <f t="shared" si="26"/>
        <v>1958.5900000000001</v>
      </c>
      <c r="P188">
        <f t="shared" si="27"/>
        <v>596.20000000000005</v>
      </c>
    </row>
    <row r="189" spans="1:16" x14ac:dyDescent="0.35">
      <c r="A189">
        <v>587.02</v>
      </c>
      <c r="B189">
        <v>361.02</v>
      </c>
      <c r="C189">
        <v>694.24</v>
      </c>
      <c r="D189">
        <v>329.66</v>
      </c>
      <c r="E189">
        <v>797.7</v>
      </c>
      <c r="F189">
        <v>313.52999999999997</v>
      </c>
      <c r="G189">
        <v>6324</v>
      </c>
      <c r="H189" t="str">
        <f t="shared" si="19"/>
        <v>5000-6999</v>
      </c>
      <c r="I189">
        <f t="shared" si="20"/>
        <v>3083.17</v>
      </c>
      <c r="J189" s="3">
        <f t="shared" si="21"/>
        <v>0.48753478810879192</v>
      </c>
      <c r="K189">
        <f t="shared" si="22"/>
        <v>948.04</v>
      </c>
      <c r="L189">
        <f t="shared" si="23"/>
        <v>1023.9000000000001</v>
      </c>
      <c r="M189">
        <f t="shared" si="24"/>
        <v>313.52999999999997</v>
      </c>
      <c r="N189">
        <f t="shared" si="25"/>
        <v>797.7</v>
      </c>
      <c r="O189">
        <f t="shared" si="26"/>
        <v>1971.94</v>
      </c>
      <c r="P189">
        <f t="shared" si="27"/>
        <v>1111.23</v>
      </c>
    </row>
    <row r="190" spans="1:16" x14ac:dyDescent="0.35">
      <c r="A190">
        <v>781.15</v>
      </c>
      <c r="B190">
        <v>552.75</v>
      </c>
      <c r="C190">
        <v>174.21</v>
      </c>
      <c r="D190">
        <v>601.86</v>
      </c>
      <c r="E190">
        <v>777.93</v>
      </c>
      <c r="F190">
        <v>366.76</v>
      </c>
      <c r="G190">
        <v>7383</v>
      </c>
      <c r="H190" t="str">
        <f t="shared" si="19"/>
        <v>7000-8999</v>
      </c>
      <c r="I190">
        <f t="shared" si="20"/>
        <v>3254.66</v>
      </c>
      <c r="J190" s="3">
        <f t="shared" si="21"/>
        <v>0.440831640254639</v>
      </c>
      <c r="K190">
        <f t="shared" si="22"/>
        <v>1333.9</v>
      </c>
      <c r="L190">
        <f t="shared" si="23"/>
        <v>776.07</v>
      </c>
      <c r="M190">
        <f t="shared" si="24"/>
        <v>366.76</v>
      </c>
      <c r="N190">
        <f t="shared" si="25"/>
        <v>777.93</v>
      </c>
      <c r="O190">
        <f t="shared" si="26"/>
        <v>2109.9700000000003</v>
      </c>
      <c r="P190">
        <f t="shared" si="27"/>
        <v>1144.69</v>
      </c>
    </row>
    <row r="191" spans="1:16" x14ac:dyDescent="0.35">
      <c r="A191">
        <v>472.43</v>
      </c>
      <c r="B191">
        <v>114.31</v>
      </c>
      <c r="C191">
        <v>565.1</v>
      </c>
      <c r="D191">
        <v>905.36</v>
      </c>
      <c r="E191">
        <v>405.67</v>
      </c>
      <c r="F191">
        <v>185.11</v>
      </c>
      <c r="G191">
        <v>5620</v>
      </c>
      <c r="H191" t="str">
        <f t="shared" si="19"/>
        <v>5000-6999</v>
      </c>
      <c r="I191">
        <f t="shared" si="20"/>
        <v>2647.9800000000005</v>
      </c>
      <c r="J191" s="3">
        <f t="shared" si="21"/>
        <v>0.47117081850533815</v>
      </c>
      <c r="K191">
        <f t="shared" si="22"/>
        <v>586.74</v>
      </c>
      <c r="L191">
        <f t="shared" si="23"/>
        <v>1470.46</v>
      </c>
      <c r="M191">
        <f t="shared" si="24"/>
        <v>185.11</v>
      </c>
      <c r="N191">
        <f t="shared" si="25"/>
        <v>405.67</v>
      </c>
      <c r="O191">
        <f t="shared" si="26"/>
        <v>2057.1999999999998</v>
      </c>
      <c r="P191">
        <f t="shared" si="27"/>
        <v>590.78</v>
      </c>
    </row>
    <row r="192" spans="1:16" x14ac:dyDescent="0.35">
      <c r="A192">
        <v>54.08</v>
      </c>
      <c r="B192">
        <v>736.44</v>
      </c>
      <c r="C192">
        <v>997.23</v>
      </c>
      <c r="D192">
        <v>735.75</v>
      </c>
      <c r="E192">
        <v>9.5299999999999994</v>
      </c>
      <c r="F192">
        <v>71.72</v>
      </c>
      <c r="G192">
        <v>5940</v>
      </c>
      <c r="H192" t="str">
        <f t="shared" si="19"/>
        <v>5000-6999</v>
      </c>
      <c r="I192">
        <f t="shared" si="20"/>
        <v>2604.75</v>
      </c>
      <c r="J192" s="3">
        <f t="shared" si="21"/>
        <v>0.43851010101010102</v>
      </c>
      <c r="K192">
        <f t="shared" si="22"/>
        <v>790.5200000000001</v>
      </c>
      <c r="L192">
        <f t="shared" si="23"/>
        <v>1732.98</v>
      </c>
      <c r="M192">
        <f t="shared" si="24"/>
        <v>71.72</v>
      </c>
      <c r="N192">
        <f t="shared" si="25"/>
        <v>9.5299999999999994</v>
      </c>
      <c r="O192">
        <f t="shared" si="26"/>
        <v>2523.5</v>
      </c>
      <c r="P192">
        <f t="shared" si="27"/>
        <v>81.25</v>
      </c>
    </row>
    <row r="193" spans="1:16" x14ac:dyDescent="0.35">
      <c r="A193">
        <v>274.3</v>
      </c>
      <c r="B193">
        <v>333.08</v>
      </c>
      <c r="C193">
        <v>614.04999999999995</v>
      </c>
      <c r="D193">
        <v>620.32000000000005</v>
      </c>
      <c r="E193">
        <v>174.87</v>
      </c>
      <c r="F193">
        <v>574.23</v>
      </c>
      <c r="G193">
        <v>6519</v>
      </c>
      <c r="H193" t="str">
        <f t="shared" si="19"/>
        <v>5000-6999</v>
      </c>
      <c r="I193">
        <f t="shared" si="20"/>
        <v>2590.85</v>
      </c>
      <c r="J193" s="3">
        <f t="shared" si="21"/>
        <v>0.39743058751342231</v>
      </c>
      <c r="K193">
        <f t="shared" si="22"/>
        <v>607.38</v>
      </c>
      <c r="L193">
        <f t="shared" si="23"/>
        <v>1234.3699999999999</v>
      </c>
      <c r="M193">
        <f t="shared" si="24"/>
        <v>574.23</v>
      </c>
      <c r="N193">
        <f t="shared" si="25"/>
        <v>174.87</v>
      </c>
      <c r="O193">
        <f t="shared" si="26"/>
        <v>1841.75</v>
      </c>
      <c r="P193">
        <f t="shared" si="27"/>
        <v>749.1</v>
      </c>
    </row>
    <row r="194" spans="1:16" x14ac:dyDescent="0.35">
      <c r="A194">
        <v>906.84</v>
      </c>
      <c r="B194">
        <v>187.21</v>
      </c>
      <c r="C194">
        <v>676.99</v>
      </c>
      <c r="D194">
        <v>655.5</v>
      </c>
      <c r="E194">
        <v>321.58999999999997</v>
      </c>
      <c r="F194">
        <v>632.86</v>
      </c>
      <c r="G194">
        <v>7964</v>
      </c>
      <c r="H194" t="str">
        <f t="shared" si="19"/>
        <v>7000-8999</v>
      </c>
      <c r="I194">
        <f t="shared" si="20"/>
        <v>3380.9900000000002</v>
      </c>
      <c r="J194" s="3">
        <f t="shared" si="21"/>
        <v>0.42453415369161229</v>
      </c>
      <c r="K194">
        <f t="shared" si="22"/>
        <v>1094.05</v>
      </c>
      <c r="L194">
        <f t="shared" si="23"/>
        <v>1332.49</v>
      </c>
      <c r="M194">
        <f t="shared" si="24"/>
        <v>632.86</v>
      </c>
      <c r="N194">
        <f t="shared" si="25"/>
        <v>321.58999999999997</v>
      </c>
      <c r="O194">
        <f t="shared" si="26"/>
        <v>2426.54</v>
      </c>
      <c r="P194">
        <f t="shared" si="27"/>
        <v>954.45</v>
      </c>
    </row>
    <row r="195" spans="1:16" x14ac:dyDescent="0.35">
      <c r="A195">
        <v>855.78</v>
      </c>
      <c r="B195">
        <v>620.44000000000005</v>
      </c>
      <c r="C195">
        <v>763.26</v>
      </c>
      <c r="D195">
        <v>385.05</v>
      </c>
      <c r="E195">
        <v>461.73</v>
      </c>
      <c r="F195">
        <v>58.23</v>
      </c>
      <c r="G195">
        <v>6456</v>
      </c>
      <c r="H195" t="str">
        <f t="shared" ref="H195:H258" si="28">IF(G195&lt;5000,"0-5000",IF(G195&lt;7000,"5000-6999",IF(G195&lt;9000,"7000-8999","9000+")))</f>
        <v>5000-6999</v>
      </c>
      <c r="I195">
        <f t="shared" ref="I195:I258" si="29">A195+B195+C195+D195+E195+F195</f>
        <v>3144.4900000000002</v>
      </c>
      <c r="J195" s="3">
        <f t="shared" ref="J195:J258" si="30">I195/G195</f>
        <v>0.48706474597273858</v>
      </c>
      <c r="K195">
        <f t="shared" ref="K195:K258" si="31">A195+B195</f>
        <v>1476.22</v>
      </c>
      <c r="L195">
        <f t="shared" ref="L195:L258" si="32">C195+D195</f>
        <v>1148.31</v>
      </c>
      <c r="M195">
        <f t="shared" ref="M195:M258" si="33">F195</f>
        <v>58.23</v>
      </c>
      <c r="N195">
        <f t="shared" ref="N195:N258" si="34">E195</f>
        <v>461.73</v>
      </c>
      <c r="O195">
        <f t="shared" ref="O195:O258" si="35">K195+L195</f>
        <v>2624.5299999999997</v>
      </c>
      <c r="P195">
        <f t="shared" ref="P195:P258" si="36">M195+N195</f>
        <v>519.96</v>
      </c>
    </row>
    <row r="196" spans="1:16" x14ac:dyDescent="0.35">
      <c r="A196">
        <v>269.01</v>
      </c>
      <c r="B196">
        <v>390.09</v>
      </c>
      <c r="C196">
        <v>860.02</v>
      </c>
      <c r="D196">
        <v>944.26</v>
      </c>
      <c r="E196">
        <v>607.54999999999995</v>
      </c>
      <c r="F196">
        <v>277.63</v>
      </c>
      <c r="G196">
        <v>7174</v>
      </c>
      <c r="H196" t="str">
        <f t="shared" si="28"/>
        <v>7000-8999</v>
      </c>
      <c r="I196">
        <f t="shared" si="29"/>
        <v>3348.5600000000004</v>
      </c>
      <c r="J196" s="3">
        <f t="shared" si="30"/>
        <v>0.4667633119598551</v>
      </c>
      <c r="K196">
        <f t="shared" si="31"/>
        <v>659.09999999999991</v>
      </c>
      <c r="L196">
        <f t="shared" si="32"/>
        <v>1804.28</v>
      </c>
      <c r="M196">
        <f t="shared" si="33"/>
        <v>277.63</v>
      </c>
      <c r="N196">
        <f t="shared" si="34"/>
        <v>607.54999999999995</v>
      </c>
      <c r="O196">
        <f t="shared" si="35"/>
        <v>2463.38</v>
      </c>
      <c r="P196">
        <f t="shared" si="36"/>
        <v>885.18</v>
      </c>
    </row>
    <row r="197" spans="1:16" x14ac:dyDescent="0.35">
      <c r="A197">
        <v>52.01</v>
      </c>
      <c r="B197">
        <v>177.25</v>
      </c>
      <c r="C197">
        <v>174.17</v>
      </c>
      <c r="D197">
        <v>686.41</v>
      </c>
      <c r="E197">
        <v>618.69000000000005</v>
      </c>
      <c r="F197">
        <v>234.05</v>
      </c>
      <c r="G197">
        <v>4278</v>
      </c>
      <c r="H197" t="str">
        <f t="shared" si="28"/>
        <v>0-5000</v>
      </c>
      <c r="I197">
        <f t="shared" si="29"/>
        <v>1942.58</v>
      </c>
      <c r="J197" s="3">
        <f t="shared" si="30"/>
        <v>0.4540860215053763</v>
      </c>
      <c r="K197">
        <f t="shared" si="31"/>
        <v>229.26</v>
      </c>
      <c r="L197">
        <f t="shared" si="32"/>
        <v>860.57999999999993</v>
      </c>
      <c r="M197">
        <f t="shared" si="33"/>
        <v>234.05</v>
      </c>
      <c r="N197">
        <f t="shared" si="34"/>
        <v>618.69000000000005</v>
      </c>
      <c r="O197">
        <f t="shared" si="35"/>
        <v>1089.8399999999999</v>
      </c>
      <c r="P197">
        <f t="shared" si="36"/>
        <v>852.74</v>
      </c>
    </row>
    <row r="198" spans="1:16" x14ac:dyDescent="0.35">
      <c r="A198">
        <v>610.15</v>
      </c>
      <c r="B198">
        <v>995.32</v>
      </c>
      <c r="C198">
        <v>757.92</v>
      </c>
      <c r="D198">
        <v>622.36</v>
      </c>
      <c r="E198">
        <v>241.99</v>
      </c>
      <c r="F198">
        <v>910.61</v>
      </c>
      <c r="G198">
        <v>10841</v>
      </c>
      <c r="H198" t="str">
        <f t="shared" si="28"/>
        <v>9000+</v>
      </c>
      <c r="I198">
        <f t="shared" si="29"/>
        <v>4138.3499999999995</v>
      </c>
      <c r="J198" s="3">
        <f t="shared" si="30"/>
        <v>0.38173139009316481</v>
      </c>
      <c r="K198">
        <f t="shared" si="31"/>
        <v>1605.47</v>
      </c>
      <c r="L198">
        <f t="shared" si="32"/>
        <v>1380.28</v>
      </c>
      <c r="M198">
        <f t="shared" si="33"/>
        <v>910.61</v>
      </c>
      <c r="N198">
        <f t="shared" si="34"/>
        <v>241.99</v>
      </c>
      <c r="O198">
        <f t="shared" si="35"/>
        <v>2985.75</v>
      </c>
      <c r="P198">
        <f t="shared" si="36"/>
        <v>1152.5999999999999</v>
      </c>
    </row>
    <row r="199" spans="1:16" x14ac:dyDescent="0.35">
      <c r="A199">
        <v>387.72</v>
      </c>
      <c r="B199">
        <v>256.08</v>
      </c>
      <c r="C199">
        <v>791.75</v>
      </c>
      <c r="D199">
        <v>40.6</v>
      </c>
      <c r="E199">
        <v>822.03</v>
      </c>
      <c r="F199">
        <v>342</v>
      </c>
      <c r="G199">
        <v>5185</v>
      </c>
      <c r="H199" t="str">
        <f t="shared" si="28"/>
        <v>5000-6999</v>
      </c>
      <c r="I199">
        <f t="shared" si="29"/>
        <v>2640.18</v>
      </c>
      <c r="J199" s="3">
        <f t="shared" si="30"/>
        <v>0.50919575699132114</v>
      </c>
      <c r="K199">
        <f t="shared" si="31"/>
        <v>643.79999999999995</v>
      </c>
      <c r="L199">
        <f t="shared" si="32"/>
        <v>832.35</v>
      </c>
      <c r="M199">
        <f t="shared" si="33"/>
        <v>342</v>
      </c>
      <c r="N199">
        <f t="shared" si="34"/>
        <v>822.03</v>
      </c>
      <c r="O199">
        <f t="shared" si="35"/>
        <v>1476.15</v>
      </c>
      <c r="P199">
        <f t="shared" si="36"/>
        <v>1164.03</v>
      </c>
    </row>
    <row r="200" spans="1:16" x14ac:dyDescent="0.35">
      <c r="A200">
        <v>328.11</v>
      </c>
      <c r="B200">
        <v>183.13</v>
      </c>
      <c r="C200">
        <v>850.23</v>
      </c>
      <c r="D200">
        <v>461.4</v>
      </c>
      <c r="E200">
        <v>345.2</v>
      </c>
      <c r="F200">
        <v>489.56</v>
      </c>
      <c r="G200">
        <v>6005</v>
      </c>
      <c r="H200" t="str">
        <f t="shared" si="28"/>
        <v>5000-6999</v>
      </c>
      <c r="I200">
        <f t="shared" si="29"/>
        <v>2657.6299999999997</v>
      </c>
      <c r="J200" s="3">
        <f t="shared" si="30"/>
        <v>0.4425695253955037</v>
      </c>
      <c r="K200">
        <f t="shared" si="31"/>
        <v>511.24</v>
      </c>
      <c r="L200">
        <f t="shared" si="32"/>
        <v>1311.63</v>
      </c>
      <c r="M200">
        <f t="shared" si="33"/>
        <v>489.56</v>
      </c>
      <c r="N200">
        <f t="shared" si="34"/>
        <v>345.2</v>
      </c>
      <c r="O200">
        <f t="shared" si="35"/>
        <v>1822.8700000000001</v>
      </c>
      <c r="P200">
        <f t="shared" si="36"/>
        <v>834.76</v>
      </c>
    </row>
    <row r="201" spans="1:16" x14ac:dyDescent="0.35">
      <c r="A201">
        <v>890.01</v>
      </c>
      <c r="B201">
        <v>373.28</v>
      </c>
      <c r="C201">
        <v>623.96</v>
      </c>
      <c r="D201">
        <v>228.75</v>
      </c>
      <c r="E201">
        <v>314.52</v>
      </c>
      <c r="F201">
        <v>224.78</v>
      </c>
      <c r="G201">
        <v>5681</v>
      </c>
      <c r="H201" t="str">
        <f t="shared" si="28"/>
        <v>5000-6999</v>
      </c>
      <c r="I201">
        <f t="shared" si="29"/>
        <v>2655.3</v>
      </c>
      <c r="J201" s="3">
        <f t="shared" si="30"/>
        <v>0.46740010561520862</v>
      </c>
      <c r="K201">
        <f t="shared" si="31"/>
        <v>1263.29</v>
      </c>
      <c r="L201">
        <f t="shared" si="32"/>
        <v>852.71</v>
      </c>
      <c r="M201">
        <f t="shared" si="33"/>
        <v>224.78</v>
      </c>
      <c r="N201">
        <f t="shared" si="34"/>
        <v>314.52</v>
      </c>
      <c r="O201">
        <f t="shared" si="35"/>
        <v>2116</v>
      </c>
      <c r="P201">
        <f t="shared" si="36"/>
        <v>539.29999999999995</v>
      </c>
    </row>
    <row r="202" spans="1:16" x14ac:dyDescent="0.35">
      <c r="A202">
        <v>167.14</v>
      </c>
      <c r="B202">
        <v>943.57</v>
      </c>
      <c r="C202">
        <v>820.53</v>
      </c>
      <c r="D202">
        <v>455</v>
      </c>
      <c r="E202">
        <v>131.76</v>
      </c>
      <c r="F202">
        <v>363.92</v>
      </c>
      <c r="G202">
        <v>7130</v>
      </c>
      <c r="H202" t="str">
        <f t="shared" si="28"/>
        <v>7000-8999</v>
      </c>
      <c r="I202">
        <f t="shared" si="29"/>
        <v>2881.92</v>
      </c>
      <c r="J202" s="3">
        <f t="shared" si="30"/>
        <v>0.40419635343618515</v>
      </c>
      <c r="K202">
        <f t="shared" si="31"/>
        <v>1110.71</v>
      </c>
      <c r="L202">
        <f t="shared" si="32"/>
        <v>1275.53</v>
      </c>
      <c r="M202">
        <f t="shared" si="33"/>
        <v>363.92</v>
      </c>
      <c r="N202">
        <f t="shared" si="34"/>
        <v>131.76</v>
      </c>
      <c r="O202">
        <f t="shared" si="35"/>
        <v>2386.2399999999998</v>
      </c>
      <c r="P202">
        <f t="shared" si="36"/>
        <v>495.68</v>
      </c>
    </row>
    <row r="203" spans="1:16" x14ac:dyDescent="0.35">
      <c r="A203">
        <v>668.24</v>
      </c>
      <c r="B203">
        <v>798.99</v>
      </c>
      <c r="C203">
        <v>171.95</v>
      </c>
      <c r="D203">
        <v>283.05</v>
      </c>
      <c r="E203">
        <v>546.02</v>
      </c>
      <c r="F203">
        <v>677.84</v>
      </c>
      <c r="G203">
        <v>8078</v>
      </c>
      <c r="H203" t="str">
        <f t="shared" si="28"/>
        <v>7000-8999</v>
      </c>
      <c r="I203">
        <f t="shared" si="29"/>
        <v>3146.09</v>
      </c>
      <c r="J203" s="3">
        <f t="shared" si="30"/>
        <v>0.38946397623174056</v>
      </c>
      <c r="K203">
        <f t="shared" si="31"/>
        <v>1467.23</v>
      </c>
      <c r="L203">
        <f t="shared" si="32"/>
        <v>455</v>
      </c>
      <c r="M203">
        <f t="shared" si="33"/>
        <v>677.84</v>
      </c>
      <c r="N203">
        <f t="shared" si="34"/>
        <v>546.02</v>
      </c>
      <c r="O203">
        <f t="shared" si="35"/>
        <v>1922.23</v>
      </c>
      <c r="P203">
        <f t="shared" si="36"/>
        <v>1223.8600000000001</v>
      </c>
    </row>
    <row r="204" spans="1:16" x14ac:dyDescent="0.35">
      <c r="A204">
        <v>249.8</v>
      </c>
      <c r="B204">
        <v>487.18</v>
      </c>
      <c r="C204">
        <v>922.77</v>
      </c>
      <c r="D204">
        <v>18.489999999999998</v>
      </c>
      <c r="E204">
        <v>510.91</v>
      </c>
      <c r="F204">
        <v>837.58</v>
      </c>
      <c r="G204">
        <v>7339</v>
      </c>
      <c r="H204" t="str">
        <f t="shared" si="28"/>
        <v>7000-8999</v>
      </c>
      <c r="I204">
        <f t="shared" si="29"/>
        <v>3026.73</v>
      </c>
      <c r="J204" s="3">
        <f t="shared" si="30"/>
        <v>0.41241722305491213</v>
      </c>
      <c r="K204">
        <f t="shared" si="31"/>
        <v>736.98</v>
      </c>
      <c r="L204">
        <f t="shared" si="32"/>
        <v>941.26</v>
      </c>
      <c r="M204">
        <f t="shared" si="33"/>
        <v>837.58</v>
      </c>
      <c r="N204">
        <f t="shared" si="34"/>
        <v>510.91</v>
      </c>
      <c r="O204">
        <f t="shared" si="35"/>
        <v>1678.24</v>
      </c>
      <c r="P204">
        <f t="shared" si="36"/>
        <v>1348.49</v>
      </c>
    </row>
    <row r="205" spans="1:16" x14ac:dyDescent="0.35">
      <c r="A205">
        <v>188.82</v>
      </c>
      <c r="B205">
        <v>129.27000000000001</v>
      </c>
      <c r="C205">
        <v>230.43</v>
      </c>
      <c r="D205">
        <v>464.89</v>
      </c>
      <c r="E205">
        <v>389.11</v>
      </c>
      <c r="F205">
        <v>748.99</v>
      </c>
      <c r="G205">
        <v>5728</v>
      </c>
      <c r="H205" t="str">
        <f t="shared" si="28"/>
        <v>5000-6999</v>
      </c>
      <c r="I205">
        <f t="shared" si="29"/>
        <v>2151.5100000000002</v>
      </c>
      <c r="J205" s="3">
        <f t="shared" si="30"/>
        <v>0.37561277932960896</v>
      </c>
      <c r="K205">
        <f t="shared" si="31"/>
        <v>318.09000000000003</v>
      </c>
      <c r="L205">
        <f t="shared" si="32"/>
        <v>695.31999999999994</v>
      </c>
      <c r="M205">
        <f t="shared" si="33"/>
        <v>748.99</v>
      </c>
      <c r="N205">
        <f t="shared" si="34"/>
        <v>389.11</v>
      </c>
      <c r="O205">
        <f t="shared" si="35"/>
        <v>1013.41</v>
      </c>
      <c r="P205">
        <f t="shared" si="36"/>
        <v>1138.0999999999999</v>
      </c>
    </row>
    <row r="206" spans="1:16" x14ac:dyDescent="0.35">
      <c r="A206">
        <v>383.98</v>
      </c>
      <c r="B206">
        <v>654.54</v>
      </c>
      <c r="C206">
        <v>678.22</v>
      </c>
      <c r="D206">
        <v>651.29</v>
      </c>
      <c r="E206">
        <v>415.85</v>
      </c>
      <c r="F206">
        <v>411.91</v>
      </c>
      <c r="G206">
        <v>7529</v>
      </c>
      <c r="H206" t="str">
        <f t="shared" si="28"/>
        <v>7000-8999</v>
      </c>
      <c r="I206">
        <f t="shared" si="29"/>
        <v>3195.7899999999995</v>
      </c>
      <c r="J206" s="3">
        <f t="shared" si="30"/>
        <v>0.42446407225395133</v>
      </c>
      <c r="K206">
        <f t="shared" si="31"/>
        <v>1038.52</v>
      </c>
      <c r="L206">
        <f t="shared" si="32"/>
        <v>1329.51</v>
      </c>
      <c r="M206">
        <f t="shared" si="33"/>
        <v>411.91</v>
      </c>
      <c r="N206">
        <f t="shared" si="34"/>
        <v>415.85</v>
      </c>
      <c r="O206">
        <f t="shared" si="35"/>
        <v>2368.0299999999997</v>
      </c>
      <c r="P206">
        <f t="shared" si="36"/>
        <v>827.76</v>
      </c>
    </row>
    <row r="207" spans="1:16" x14ac:dyDescent="0.35">
      <c r="A207">
        <v>649.53</v>
      </c>
      <c r="B207">
        <v>795.64</v>
      </c>
      <c r="C207">
        <v>533.72</v>
      </c>
      <c r="D207">
        <v>510.37</v>
      </c>
      <c r="E207">
        <v>485.43</v>
      </c>
      <c r="F207">
        <v>608.69000000000005</v>
      </c>
      <c r="G207">
        <v>8775</v>
      </c>
      <c r="H207" t="str">
        <f t="shared" si="28"/>
        <v>7000-8999</v>
      </c>
      <c r="I207">
        <f t="shared" si="29"/>
        <v>3583.38</v>
      </c>
      <c r="J207" s="3">
        <f t="shared" si="30"/>
        <v>0.4083623931623932</v>
      </c>
      <c r="K207">
        <f t="shared" si="31"/>
        <v>1445.17</v>
      </c>
      <c r="L207">
        <f t="shared" si="32"/>
        <v>1044.0900000000001</v>
      </c>
      <c r="M207">
        <f t="shared" si="33"/>
        <v>608.69000000000005</v>
      </c>
      <c r="N207">
        <f t="shared" si="34"/>
        <v>485.43</v>
      </c>
      <c r="O207">
        <f t="shared" si="35"/>
        <v>2489.2600000000002</v>
      </c>
      <c r="P207">
        <f t="shared" si="36"/>
        <v>1094.1200000000001</v>
      </c>
    </row>
    <row r="208" spans="1:16" x14ac:dyDescent="0.35">
      <c r="A208">
        <v>519.08000000000004</v>
      </c>
      <c r="B208">
        <v>493.1</v>
      </c>
      <c r="C208">
        <v>375.53</v>
      </c>
      <c r="D208">
        <v>579.99</v>
      </c>
      <c r="E208">
        <v>491.61</v>
      </c>
      <c r="F208">
        <v>255.77</v>
      </c>
      <c r="G208">
        <v>6163</v>
      </c>
      <c r="H208" t="str">
        <f t="shared" si="28"/>
        <v>5000-6999</v>
      </c>
      <c r="I208">
        <f t="shared" si="29"/>
        <v>2715.08</v>
      </c>
      <c r="J208" s="3">
        <f t="shared" si="30"/>
        <v>0.4405451890313159</v>
      </c>
      <c r="K208">
        <f t="shared" si="31"/>
        <v>1012.1800000000001</v>
      </c>
      <c r="L208">
        <f t="shared" si="32"/>
        <v>955.52</v>
      </c>
      <c r="M208">
        <f t="shared" si="33"/>
        <v>255.77</v>
      </c>
      <c r="N208">
        <f t="shared" si="34"/>
        <v>491.61</v>
      </c>
      <c r="O208">
        <f t="shared" si="35"/>
        <v>1967.7</v>
      </c>
      <c r="P208">
        <f t="shared" si="36"/>
        <v>747.38</v>
      </c>
    </row>
    <row r="209" spans="1:16" x14ac:dyDescent="0.35">
      <c r="A209">
        <v>920.06</v>
      </c>
      <c r="B209">
        <v>668.16</v>
      </c>
      <c r="C209">
        <v>771.18</v>
      </c>
      <c r="D209">
        <v>37.54</v>
      </c>
      <c r="E209">
        <v>107.77</v>
      </c>
      <c r="F209">
        <v>765.11</v>
      </c>
      <c r="G209">
        <v>8281</v>
      </c>
      <c r="H209" t="str">
        <f t="shared" si="28"/>
        <v>7000-8999</v>
      </c>
      <c r="I209">
        <f t="shared" si="29"/>
        <v>3269.8199999999997</v>
      </c>
      <c r="J209" s="3">
        <f t="shared" si="30"/>
        <v>0.39485810892404294</v>
      </c>
      <c r="K209">
        <f t="shared" si="31"/>
        <v>1588.2199999999998</v>
      </c>
      <c r="L209">
        <f t="shared" si="32"/>
        <v>808.71999999999991</v>
      </c>
      <c r="M209">
        <f t="shared" si="33"/>
        <v>765.11</v>
      </c>
      <c r="N209">
        <f t="shared" si="34"/>
        <v>107.77</v>
      </c>
      <c r="O209">
        <f t="shared" si="35"/>
        <v>2396.9399999999996</v>
      </c>
      <c r="P209">
        <f t="shared" si="36"/>
        <v>872.88</v>
      </c>
    </row>
    <row r="210" spans="1:16" x14ac:dyDescent="0.35">
      <c r="A210">
        <v>754.81</v>
      </c>
      <c r="B210">
        <v>590.70000000000005</v>
      </c>
      <c r="C210">
        <v>655.69</v>
      </c>
      <c r="D210">
        <v>228.98</v>
      </c>
      <c r="E210">
        <v>495.76</v>
      </c>
      <c r="F210">
        <v>821.56</v>
      </c>
      <c r="G210">
        <v>8724</v>
      </c>
      <c r="H210" t="str">
        <f t="shared" si="28"/>
        <v>7000-8999</v>
      </c>
      <c r="I210">
        <f t="shared" si="29"/>
        <v>3547.4999999999995</v>
      </c>
      <c r="J210" s="3">
        <f t="shared" si="30"/>
        <v>0.40663686382393394</v>
      </c>
      <c r="K210">
        <f t="shared" si="31"/>
        <v>1345.51</v>
      </c>
      <c r="L210">
        <f t="shared" si="32"/>
        <v>884.67000000000007</v>
      </c>
      <c r="M210">
        <f t="shared" si="33"/>
        <v>821.56</v>
      </c>
      <c r="N210">
        <f t="shared" si="34"/>
        <v>495.76</v>
      </c>
      <c r="O210">
        <f t="shared" si="35"/>
        <v>2230.1800000000003</v>
      </c>
      <c r="P210">
        <f t="shared" si="36"/>
        <v>1317.32</v>
      </c>
    </row>
    <row r="211" spans="1:16" x14ac:dyDescent="0.35">
      <c r="A211">
        <v>936.41</v>
      </c>
      <c r="B211">
        <v>624.97</v>
      </c>
      <c r="C211">
        <v>178.87</v>
      </c>
      <c r="D211">
        <v>99.33</v>
      </c>
      <c r="E211">
        <v>899.69</v>
      </c>
      <c r="F211">
        <v>423.56</v>
      </c>
      <c r="G211">
        <v>7054</v>
      </c>
      <c r="H211" t="str">
        <f t="shared" si="28"/>
        <v>7000-8999</v>
      </c>
      <c r="I211">
        <f t="shared" si="29"/>
        <v>3162.83</v>
      </c>
      <c r="J211" s="3">
        <f t="shared" si="30"/>
        <v>0.44837397221434644</v>
      </c>
      <c r="K211">
        <f t="shared" si="31"/>
        <v>1561.38</v>
      </c>
      <c r="L211">
        <f t="shared" si="32"/>
        <v>278.2</v>
      </c>
      <c r="M211">
        <f t="shared" si="33"/>
        <v>423.56</v>
      </c>
      <c r="N211">
        <f t="shared" si="34"/>
        <v>899.69</v>
      </c>
      <c r="O211">
        <f t="shared" si="35"/>
        <v>1839.5800000000002</v>
      </c>
      <c r="P211">
        <f t="shared" si="36"/>
        <v>1323.25</v>
      </c>
    </row>
    <row r="212" spans="1:16" x14ac:dyDescent="0.35">
      <c r="A212">
        <v>257.56</v>
      </c>
      <c r="B212">
        <v>524.15</v>
      </c>
      <c r="C212">
        <v>414.8</v>
      </c>
      <c r="D212">
        <v>828.4</v>
      </c>
      <c r="E212">
        <v>544.84</v>
      </c>
      <c r="F212">
        <v>733.99</v>
      </c>
      <c r="G212">
        <v>8366</v>
      </c>
      <c r="H212" t="str">
        <f t="shared" si="28"/>
        <v>7000-8999</v>
      </c>
      <c r="I212">
        <f t="shared" si="29"/>
        <v>3303.74</v>
      </c>
      <c r="J212" s="3">
        <f t="shared" si="30"/>
        <v>0.39490078890748265</v>
      </c>
      <c r="K212">
        <f t="shared" si="31"/>
        <v>781.71</v>
      </c>
      <c r="L212">
        <f t="shared" si="32"/>
        <v>1243.2</v>
      </c>
      <c r="M212">
        <f t="shared" si="33"/>
        <v>733.99</v>
      </c>
      <c r="N212">
        <f t="shared" si="34"/>
        <v>544.84</v>
      </c>
      <c r="O212">
        <f t="shared" si="35"/>
        <v>2024.91</v>
      </c>
      <c r="P212">
        <f t="shared" si="36"/>
        <v>1278.83</v>
      </c>
    </row>
    <row r="213" spans="1:16" x14ac:dyDescent="0.35">
      <c r="A213">
        <v>584.41</v>
      </c>
      <c r="B213">
        <v>98.11</v>
      </c>
      <c r="C213">
        <v>55.77</v>
      </c>
      <c r="D213">
        <v>656</v>
      </c>
      <c r="E213">
        <v>313.47000000000003</v>
      </c>
      <c r="F213">
        <v>972.78</v>
      </c>
      <c r="G213">
        <v>7455</v>
      </c>
      <c r="H213" t="str">
        <f t="shared" si="28"/>
        <v>7000-8999</v>
      </c>
      <c r="I213">
        <f t="shared" si="29"/>
        <v>2680.54</v>
      </c>
      <c r="J213" s="3">
        <f t="shared" si="30"/>
        <v>0.3595627095908786</v>
      </c>
      <c r="K213">
        <f t="shared" si="31"/>
        <v>682.52</v>
      </c>
      <c r="L213">
        <f t="shared" si="32"/>
        <v>711.77</v>
      </c>
      <c r="M213">
        <f t="shared" si="33"/>
        <v>972.78</v>
      </c>
      <c r="N213">
        <f t="shared" si="34"/>
        <v>313.47000000000003</v>
      </c>
      <c r="O213">
        <f t="shared" si="35"/>
        <v>1394.29</v>
      </c>
      <c r="P213">
        <f t="shared" si="36"/>
        <v>1286.25</v>
      </c>
    </row>
    <row r="214" spans="1:16" x14ac:dyDescent="0.35">
      <c r="A214">
        <v>191.11</v>
      </c>
      <c r="B214">
        <v>438.26</v>
      </c>
      <c r="C214">
        <v>529.16999999999996</v>
      </c>
      <c r="D214">
        <v>479.65</v>
      </c>
      <c r="E214">
        <v>299.81</v>
      </c>
      <c r="F214">
        <v>34.17</v>
      </c>
      <c r="G214">
        <v>4165</v>
      </c>
      <c r="H214" t="str">
        <f t="shared" si="28"/>
        <v>0-5000</v>
      </c>
      <c r="I214">
        <f t="shared" si="29"/>
        <v>1972.17</v>
      </c>
      <c r="J214" s="3">
        <f t="shared" si="30"/>
        <v>0.47351020408163269</v>
      </c>
      <c r="K214">
        <f t="shared" si="31"/>
        <v>629.37</v>
      </c>
      <c r="L214">
        <f t="shared" si="32"/>
        <v>1008.8199999999999</v>
      </c>
      <c r="M214">
        <f t="shared" si="33"/>
        <v>34.17</v>
      </c>
      <c r="N214">
        <f t="shared" si="34"/>
        <v>299.81</v>
      </c>
      <c r="O214">
        <f t="shared" si="35"/>
        <v>1638.19</v>
      </c>
      <c r="P214">
        <f t="shared" si="36"/>
        <v>333.98</v>
      </c>
    </row>
    <row r="215" spans="1:16" x14ac:dyDescent="0.35">
      <c r="A215">
        <v>147.88999999999999</v>
      </c>
      <c r="B215">
        <v>256.27999999999997</v>
      </c>
      <c r="C215">
        <v>444.81</v>
      </c>
      <c r="D215">
        <v>77.17</v>
      </c>
      <c r="E215">
        <v>736.17</v>
      </c>
      <c r="F215">
        <v>937.95</v>
      </c>
      <c r="G215">
        <v>6559</v>
      </c>
      <c r="H215" t="str">
        <f t="shared" si="28"/>
        <v>5000-6999</v>
      </c>
      <c r="I215">
        <f t="shared" si="29"/>
        <v>2600.27</v>
      </c>
      <c r="J215" s="3">
        <f t="shared" si="30"/>
        <v>0.39644305534380242</v>
      </c>
      <c r="K215">
        <f t="shared" si="31"/>
        <v>404.16999999999996</v>
      </c>
      <c r="L215">
        <f t="shared" si="32"/>
        <v>521.98</v>
      </c>
      <c r="M215">
        <f t="shared" si="33"/>
        <v>937.95</v>
      </c>
      <c r="N215">
        <f t="shared" si="34"/>
        <v>736.17</v>
      </c>
      <c r="O215">
        <f t="shared" si="35"/>
        <v>926.15</v>
      </c>
      <c r="P215">
        <f t="shared" si="36"/>
        <v>1674.12</v>
      </c>
    </row>
    <row r="216" spans="1:16" x14ac:dyDescent="0.35">
      <c r="A216">
        <v>594.03</v>
      </c>
      <c r="B216">
        <v>255.6</v>
      </c>
      <c r="C216">
        <v>411.98</v>
      </c>
      <c r="D216">
        <v>208.8</v>
      </c>
      <c r="E216">
        <v>101.1</v>
      </c>
      <c r="F216">
        <v>723.18</v>
      </c>
      <c r="G216">
        <v>6104</v>
      </c>
      <c r="H216" t="str">
        <f t="shared" si="28"/>
        <v>5000-6999</v>
      </c>
      <c r="I216">
        <f t="shared" si="29"/>
        <v>2294.69</v>
      </c>
      <c r="J216" s="3">
        <f t="shared" si="30"/>
        <v>0.37593217562254261</v>
      </c>
      <c r="K216">
        <f t="shared" si="31"/>
        <v>849.63</v>
      </c>
      <c r="L216">
        <f t="shared" si="32"/>
        <v>620.78</v>
      </c>
      <c r="M216">
        <f t="shared" si="33"/>
        <v>723.18</v>
      </c>
      <c r="N216">
        <f t="shared" si="34"/>
        <v>101.1</v>
      </c>
      <c r="O216">
        <f t="shared" si="35"/>
        <v>1470.4099999999999</v>
      </c>
      <c r="P216">
        <f t="shared" si="36"/>
        <v>824.28</v>
      </c>
    </row>
    <row r="217" spans="1:16" x14ac:dyDescent="0.35">
      <c r="A217">
        <v>626.96</v>
      </c>
      <c r="B217">
        <v>160.57</v>
      </c>
      <c r="C217">
        <v>823.18</v>
      </c>
      <c r="D217">
        <v>650.20000000000005</v>
      </c>
      <c r="E217">
        <v>662.36</v>
      </c>
      <c r="F217">
        <v>933.53</v>
      </c>
      <c r="G217">
        <v>9144</v>
      </c>
      <c r="H217" t="str">
        <f t="shared" si="28"/>
        <v>9000+</v>
      </c>
      <c r="I217">
        <f t="shared" si="29"/>
        <v>3856.8</v>
      </c>
      <c r="J217" s="3">
        <f t="shared" si="30"/>
        <v>0.42178477690288718</v>
      </c>
      <c r="K217">
        <f t="shared" si="31"/>
        <v>787.53</v>
      </c>
      <c r="L217">
        <f t="shared" si="32"/>
        <v>1473.38</v>
      </c>
      <c r="M217">
        <f t="shared" si="33"/>
        <v>933.53</v>
      </c>
      <c r="N217">
        <f t="shared" si="34"/>
        <v>662.36</v>
      </c>
      <c r="O217">
        <f t="shared" si="35"/>
        <v>2260.91</v>
      </c>
      <c r="P217">
        <f t="shared" si="36"/>
        <v>1595.8899999999999</v>
      </c>
    </row>
    <row r="218" spans="1:16" x14ac:dyDescent="0.35">
      <c r="A218">
        <v>139.72</v>
      </c>
      <c r="B218">
        <v>831.04</v>
      </c>
      <c r="C218">
        <v>843.23</v>
      </c>
      <c r="D218">
        <v>654.59</v>
      </c>
      <c r="E218">
        <v>325.38</v>
      </c>
      <c r="F218">
        <v>30.01</v>
      </c>
      <c r="G218">
        <v>6176</v>
      </c>
      <c r="H218" t="str">
        <f t="shared" si="28"/>
        <v>5000-6999</v>
      </c>
      <c r="I218">
        <f t="shared" si="29"/>
        <v>2823.9700000000003</v>
      </c>
      <c r="J218" s="3">
        <f t="shared" si="30"/>
        <v>0.45724902849740939</v>
      </c>
      <c r="K218">
        <f t="shared" si="31"/>
        <v>970.76</v>
      </c>
      <c r="L218">
        <f t="shared" si="32"/>
        <v>1497.8200000000002</v>
      </c>
      <c r="M218">
        <f t="shared" si="33"/>
        <v>30.01</v>
      </c>
      <c r="N218">
        <f t="shared" si="34"/>
        <v>325.38</v>
      </c>
      <c r="O218">
        <f t="shared" si="35"/>
        <v>2468.58</v>
      </c>
      <c r="P218">
        <f t="shared" si="36"/>
        <v>355.39</v>
      </c>
    </row>
    <row r="219" spans="1:16" x14ac:dyDescent="0.35">
      <c r="A219">
        <v>975.65</v>
      </c>
      <c r="B219">
        <v>306.3</v>
      </c>
      <c r="C219">
        <v>835.84</v>
      </c>
      <c r="D219">
        <v>332.31</v>
      </c>
      <c r="E219">
        <v>261.19</v>
      </c>
      <c r="F219">
        <v>435.6</v>
      </c>
      <c r="G219">
        <v>7019</v>
      </c>
      <c r="H219" t="str">
        <f t="shared" si="28"/>
        <v>7000-8999</v>
      </c>
      <c r="I219">
        <f t="shared" si="29"/>
        <v>3146.89</v>
      </c>
      <c r="J219" s="3">
        <f t="shared" si="30"/>
        <v>0.44833879470009969</v>
      </c>
      <c r="K219">
        <f t="shared" si="31"/>
        <v>1281.95</v>
      </c>
      <c r="L219">
        <f t="shared" si="32"/>
        <v>1168.1500000000001</v>
      </c>
      <c r="M219">
        <f t="shared" si="33"/>
        <v>435.6</v>
      </c>
      <c r="N219">
        <f t="shared" si="34"/>
        <v>261.19</v>
      </c>
      <c r="O219">
        <f t="shared" si="35"/>
        <v>2450.1000000000004</v>
      </c>
      <c r="P219">
        <f t="shared" si="36"/>
        <v>696.79</v>
      </c>
    </row>
    <row r="220" spans="1:16" x14ac:dyDescent="0.35">
      <c r="A220">
        <v>811.16</v>
      </c>
      <c r="B220">
        <v>115.99</v>
      </c>
      <c r="C220">
        <v>36.909999999999997</v>
      </c>
      <c r="D220">
        <v>48.41</v>
      </c>
      <c r="E220">
        <v>616.23</v>
      </c>
      <c r="F220">
        <v>365.65</v>
      </c>
      <c r="G220">
        <v>4344</v>
      </c>
      <c r="H220" t="str">
        <f t="shared" si="28"/>
        <v>0-5000</v>
      </c>
      <c r="I220">
        <f t="shared" si="29"/>
        <v>1994.35</v>
      </c>
      <c r="J220" s="3">
        <f t="shared" si="30"/>
        <v>0.45910451197053403</v>
      </c>
      <c r="K220">
        <f t="shared" si="31"/>
        <v>927.15</v>
      </c>
      <c r="L220">
        <f t="shared" si="32"/>
        <v>85.32</v>
      </c>
      <c r="M220">
        <f t="shared" si="33"/>
        <v>365.65</v>
      </c>
      <c r="N220">
        <f t="shared" si="34"/>
        <v>616.23</v>
      </c>
      <c r="O220">
        <f t="shared" si="35"/>
        <v>1012.47</v>
      </c>
      <c r="P220">
        <f t="shared" si="36"/>
        <v>981.88</v>
      </c>
    </row>
    <row r="221" spans="1:16" x14ac:dyDescent="0.35">
      <c r="A221">
        <v>217.94</v>
      </c>
      <c r="B221">
        <v>588.9</v>
      </c>
      <c r="C221">
        <v>811.95</v>
      </c>
      <c r="D221">
        <v>617.71</v>
      </c>
      <c r="E221">
        <v>922.97</v>
      </c>
      <c r="F221">
        <v>525.86</v>
      </c>
      <c r="G221">
        <v>8175</v>
      </c>
      <c r="H221" t="str">
        <f t="shared" si="28"/>
        <v>7000-8999</v>
      </c>
      <c r="I221">
        <f t="shared" si="29"/>
        <v>3685.3300000000004</v>
      </c>
      <c r="J221" s="3">
        <f t="shared" si="30"/>
        <v>0.45080489296636089</v>
      </c>
      <c r="K221">
        <f t="shared" si="31"/>
        <v>806.83999999999992</v>
      </c>
      <c r="L221">
        <f t="shared" si="32"/>
        <v>1429.66</v>
      </c>
      <c r="M221">
        <f t="shared" si="33"/>
        <v>525.86</v>
      </c>
      <c r="N221">
        <f t="shared" si="34"/>
        <v>922.97</v>
      </c>
      <c r="O221">
        <f t="shared" si="35"/>
        <v>2236.5</v>
      </c>
      <c r="P221">
        <f t="shared" si="36"/>
        <v>1448.83</v>
      </c>
    </row>
    <row r="222" spans="1:16" x14ac:dyDescent="0.35">
      <c r="A222">
        <v>783.39</v>
      </c>
      <c r="B222">
        <v>185.17</v>
      </c>
      <c r="C222">
        <v>997.6</v>
      </c>
      <c r="D222">
        <v>578.32000000000005</v>
      </c>
      <c r="E222">
        <v>811.54</v>
      </c>
      <c r="F222">
        <v>119.33</v>
      </c>
      <c r="G222">
        <v>6522</v>
      </c>
      <c r="H222" t="str">
        <f t="shared" si="28"/>
        <v>5000-6999</v>
      </c>
      <c r="I222">
        <f t="shared" si="29"/>
        <v>3475.35</v>
      </c>
      <c r="J222" s="3">
        <f t="shared" si="30"/>
        <v>0.53286568537258505</v>
      </c>
      <c r="K222">
        <f t="shared" si="31"/>
        <v>968.56</v>
      </c>
      <c r="L222">
        <f t="shared" si="32"/>
        <v>1575.92</v>
      </c>
      <c r="M222">
        <f t="shared" si="33"/>
        <v>119.33</v>
      </c>
      <c r="N222">
        <f t="shared" si="34"/>
        <v>811.54</v>
      </c>
      <c r="O222">
        <f t="shared" si="35"/>
        <v>2544.48</v>
      </c>
      <c r="P222">
        <f t="shared" si="36"/>
        <v>930.87</v>
      </c>
    </row>
    <row r="223" spans="1:16" x14ac:dyDescent="0.35">
      <c r="A223">
        <v>524.13</v>
      </c>
      <c r="B223">
        <v>762.87</v>
      </c>
      <c r="C223">
        <v>327.47000000000003</v>
      </c>
      <c r="D223">
        <v>236.32</v>
      </c>
      <c r="E223">
        <v>128.59</v>
      </c>
      <c r="F223">
        <v>817.47</v>
      </c>
      <c r="G223">
        <v>7848</v>
      </c>
      <c r="H223" t="str">
        <f t="shared" si="28"/>
        <v>7000-8999</v>
      </c>
      <c r="I223">
        <f t="shared" si="29"/>
        <v>2796.85</v>
      </c>
      <c r="J223" s="3">
        <f t="shared" si="30"/>
        <v>0.35637742099898062</v>
      </c>
      <c r="K223">
        <f t="shared" si="31"/>
        <v>1287</v>
      </c>
      <c r="L223">
        <f t="shared" si="32"/>
        <v>563.79</v>
      </c>
      <c r="M223">
        <f t="shared" si="33"/>
        <v>817.47</v>
      </c>
      <c r="N223">
        <f t="shared" si="34"/>
        <v>128.59</v>
      </c>
      <c r="O223">
        <f t="shared" si="35"/>
        <v>1850.79</v>
      </c>
      <c r="P223">
        <f t="shared" si="36"/>
        <v>946.06000000000006</v>
      </c>
    </row>
    <row r="224" spans="1:16" x14ac:dyDescent="0.35">
      <c r="A224">
        <v>374.53</v>
      </c>
      <c r="B224">
        <v>344.97</v>
      </c>
      <c r="C224">
        <v>553.29999999999995</v>
      </c>
      <c r="D224">
        <v>589.08000000000004</v>
      </c>
      <c r="E224">
        <v>649.84</v>
      </c>
      <c r="F224">
        <v>984.5</v>
      </c>
      <c r="G224">
        <v>8816</v>
      </c>
      <c r="H224" t="str">
        <f t="shared" si="28"/>
        <v>7000-8999</v>
      </c>
      <c r="I224">
        <f t="shared" si="29"/>
        <v>3496.2200000000003</v>
      </c>
      <c r="J224" s="3">
        <f t="shared" si="30"/>
        <v>0.39657667876588026</v>
      </c>
      <c r="K224">
        <f t="shared" si="31"/>
        <v>719.5</v>
      </c>
      <c r="L224">
        <f t="shared" si="32"/>
        <v>1142.3800000000001</v>
      </c>
      <c r="M224">
        <f t="shared" si="33"/>
        <v>984.5</v>
      </c>
      <c r="N224">
        <f t="shared" si="34"/>
        <v>649.84</v>
      </c>
      <c r="O224">
        <f t="shared" si="35"/>
        <v>1861.88</v>
      </c>
      <c r="P224">
        <f t="shared" si="36"/>
        <v>1634.3400000000001</v>
      </c>
    </row>
    <row r="225" spans="1:16" x14ac:dyDescent="0.35">
      <c r="A225">
        <v>506.05</v>
      </c>
      <c r="B225">
        <v>293.98</v>
      </c>
      <c r="C225">
        <v>145.94</v>
      </c>
      <c r="D225">
        <v>299.63</v>
      </c>
      <c r="E225">
        <v>819.33</v>
      </c>
      <c r="F225">
        <v>20.55</v>
      </c>
      <c r="G225">
        <v>3947</v>
      </c>
      <c r="H225" t="str">
        <f t="shared" si="28"/>
        <v>0-5000</v>
      </c>
      <c r="I225">
        <f t="shared" si="29"/>
        <v>2085.48</v>
      </c>
      <c r="J225" s="3">
        <f t="shared" si="30"/>
        <v>0.52837091461869778</v>
      </c>
      <c r="K225">
        <f t="shared" si="31"/>
        <v>800.03</v>
      </c>
      <c r="L225">
        <f t="shared" si="32"/>
        <v>445.57</v>
      </c>
      <c r="M225">
        <f t="shared" si="33"/>
        <v>20.55</v>
      </c>
      <c r="N225">
        <f t="shared" si="34"/>
        <v>819.33</v>
      </c>
      <c r="O225">
        <f t="shared" si="35"/>
        <v>1245.5999999999999</v>
      </c>
      <c r="P225">
        <f t="shared" si="36"/>
        <v>839.88</v>
      </c>
    </row>
    <row r="226" spans="1:16" x14ac:dyDescent="0.35">
      <c r="A226">
        <v>111.67</v>
      </c>
      <c r="B226">
        <v>325.81</v>
      </c>
      <c r="C226">
        <v>846.96</v>
      </c>
      <c r="D226">
        <v>823.89</v>
      </c>
      <c r="E226">
        <v>815.57</v>
      </c>
      <c r="F226">
        <v>537.87</v>
      </c>
      <c r="G226">
        <v>7666</v>
      </c>
      <c r="H226" t="str">
        <f t="shared" si="28"/>
        <v>7000-8999</v>
      </c>
      <c r="I226">
        <f t="shared" si="29"/>
        <v>3461.77</v>
      </c>
      <c r="J226" s="3">
        <f t="shared" si="30"/>
        <v>0.45157448473780326</v>
      </c>
      <c r="K226">
        <f t="shared" si="31"/>
        <v>437.48</v>
      </c>
      <c r="L226">
        <f t="shared" si="32"/>
        <v>1670.85</v>
      </c>
      <c r="M226">
        <f t="shared" si="33"/>
        <v>537.87</v>
      </c>
      <c r="N226">
        <f t="shared" si="34"/>
        <v>815.57</v>
      </c>
      <c r="O226">
        <f t="shared" si="35"/>
        <v>2108.33</v>
      </c>
      <c r="P226">
        <f t="shared" si="36"/>
        <v>1353.44</v>
      </c>
    </row>
    <row r="227" spans="1:16" x14ac:dyDescent="0.35">
      <c r="A227">
        <v>807.13</v>
      </c>
      <c r="B227">
        <v>127.07</v>
      </c>
      <c r="C227">
        <v>596.9</v>
      </c>
      <c r="D227">
        <v>886.41</v>
      </c>
      <c r="E227">
        <v>618.66</v>
      </c>
      <c r="F227">
        <v>26.23</v>
      </c>
      <c r="G227">
        <v>5957</v>
      </c>
      <c r="H227" t="str">
        <f t="shared" si="28"/>
        <v>5000-6999</v>
      </c>
      <c r="I227">
        <f t="shared" si="29"/>
        <v>3062.3999999999996</v>
      </c>
      <c r="J227" s="3">
        <f t="shared" si="30"/>
        <v>0.5140842706060097</v>
      </c>
      <c r="K227">
        <f t="shared" si="31"/>
        <v>934.2</v>
      </c>
      <c r="L227">
        <f t="shared" si="32"/>
        <v>1483.31</v>
      </c>
      <c r="M227">
        <f t="shared" si="33"/>
        <v>26.23</v>
      </c>
      <c r="N227">
        <f t="shared" si="34"/>
        <v>618.66</v>
      </c>
      <c r="O227">
        <f t="shared" si="35"/>
        <v>2417.5100000000002</v>
      </c>
      <c r="P227">
        <f t="shared" si="36"/>
        <v>644.89</v>
      </c>
    </row>
    <row r="228" spans="1:16" x14ac:dyDescent="0.35">
      <c r="A228">
        <v>251.03</v>
      </c>
      <c r="B228">
        <v>553.97</v>
      </c>
      <c r="C228">
        <v>571.47</v>
      </c>
      <c r="D228">
        <v>91.9</v>
      </c>
      <c r="E228">
        <v>233.84</v>
      </c>
      <c r="F228">
        <v>205.21</v>
      </c>
      <c r="G228">
        <v>4358</v>
      </c>
      <c r="H228" t="str">
        <f t="shared" si="28"/>
        <v>0-5000</v>
      </c>
      <c r="I228">
        <f t="shared" si="29"/>
        <v>1907.42</v>
      </c>
      <c r="J228" s="3">
        <f t="shared" si="30"/>
        <v>0.4376824231298761</v>
      </c>
      <c r="K228">
        <f t="shared" si="31"/>
        <v>805</v>
      </c>
      <c r="L228">
        <f t="shared" si="32"/>
        <v>663.37</v>
      </c>
      <c r="M228">
        <f t="shared" si="33"/>
        <v>205.21</v>
      </c>
      <c r="N228">
        <f t="shared" si="34"/>
        <v>233.84</v>
      </c>
      <c r="O228">
        <f t="shared" si="35"/>
        <v>1468.37</v>
      </c>
      <c r="P228">
        <f t="shared" si="36"/>
        <v>439.05</v>
      </c>
    </row>
    <row r="229" spans="1:16" x14ac:dyDescent="0.35">
      <c r="A229">
        <v>314.41000000000003</v>
      </c>
      <c r="B229">
        <v>67.430000000000007</v>
      </c>
      <c r="C229">
        <v>296.51</v>
      </c>
      <c r="D229">
        <v>728.87</v>
      </c>
      <c r="E229">
        <v>494.04</v>
      </c>
      <c r="F229">
        <v>374.83</v>
      </c>
      <c r="G229">
        <v>5199</v>
      </c>
      <c r="H229" t="str">
        <f t="shared" si="28"/>
        <v>5000-6999</v>
      </c>
      <c r="I229">
        <f t="shared" si="29"/>
        <v>2276.09</v>
      </c>
      <c r="J229" s="3">
        <f t="shared" si="30"/>
        <v>0.43779380650125027</v>
      </c>
      <c r="K229">
        <f t="shared" si="31"/>
        <v>381.84000000000003</v>
      </c>
      <c r="L229">
        <f t="shared" si="32"/>
        <v>1025.3800000000001</v>
      </c>
      <c r="M229">
        <f t="shared" si="33"/>
        <v>374.83</v>
      </c>
      <c r="N229">
        <f t="shared" si="34"/>
        <v>494.04</v>
      </c>
      <c r="O229">
        <f t="shared" si="35"/>
        <v>1407.2200000000003</v>
      </c>
      <c r="P229">
        <f t="shared" si="36"/>
        <v>868.87</v>
      </c>
    </row>
    <row r="230" spans="1:16" x14ac:dyDescent="0.35">
      <c r="A230">
        <v>347.01</v>
      </c>
      <c r="B230">
        <v>103.13</v>
      </c>
      <c r="C230">
        <v>275.39999999999998</v>
      </c>
      <c r="D230">
        <v>711.14</v>
      </c>
      <c r="E230">
        <v>23.83</v>
      </c>
      <c r="F230">
        <v>138.33000000000001</v>
      </c>
      <c r="G230">
        <v>3779</v>
      </c>
      <c r="H230" t="str">
        <f t="shared" si="28"/>
        <v>0-5000</v>
      </c>
      <c r="I230">
        <f t="shared" si="29"/>
        <v>1598.8399999999997</v>
      </c>
      <c r="J230" s="3">
        <f t="shared" si="30"/>
        <v>0.42308547234718169</v>
      </c>
      <c r="K230">
        <f t="shared" si="31"/>
        <v>450.14</v>
      </c>
      <c r="L230">
        <f t="shared" si="32"/>
        <v>986.54</v>
      </c>
      <c r="M230">
        <f t="shared" si="33"/>
        <v>138.33000000000001</v>
      </c>
      <c r="N230">
        <f t="shared" si="34"/>
        <v>23.83</v>
      </c>
      <c r="O230">
        <f t="shared" si="35"/>
        <v>1436.6799999999998</v>
      </c>
      <c r="P230">
        <f t="shared" si="36"/>
        <v>162.16000000000003</v>
      </c>
    </row>
    <row r="231" spans="1:16" x14ac:dyDescent="0.35">
      <c r="A231">
        <v>130.31</v>
      </c>
      <c r="B231">
        <v>663.36</v>
      </c>
      <c r="C231">
        <v>865.77</v>
      </c>
      <c r="D231">
        <v>477.86</v>
      </c>
      <c r="E231">
        <v>7.27</v>
      </c>
      <c r="F231">
        <v>122.8</v>
      </c>
      <c r="G231">
        <v>5235</v>
      </c>
      <c r="H231" t="str">
        <f t="shared" si="28"/>
        <v>5000-6999</v>
      </c>
      <c r="I231">
        <f t="shared" si="29"/>
        <v>2267.3700000000003</v>
      </c>
      <c r="J231" s="3">
        <f t="shared" si="30"/>
        <v>0.43311747851002874</v>
      </c>
      <c r="K231">
        <f t="shared" si="31"/>
        <v>793.67000000000007</v>
      </c>
      <c r="L231">
        <f t="shared" si="32"/>
        <v>1343.63</v>
      </c>
      <c r="M231">
        <f t="shared" si="33"/>
        <v>122.8</v>
      </c>
      <c r="N231">
        <f t="shared" si="34"/>
        <v>7.27</v>
      </c>
      <c r="O231">
        <f t="shared" si="35"/>
        <v>2137.3000000000002</v>
      </c>
      <c r="P231">
        <f t="shared" si="36"/>
        <v>130.07</v>
      </c>
    </row>
    <row r="232" spans="1:16" x14ac:dyDescent="0.35">
      <c r="A232">
        <v>46.41</v>
      </c>
      <c r="B232">
        <v>760.8</v>
      </c>
      <c r="C232">
        <v>137.61000000000001</v>
      </c>
      <c r="D232">
        <v>493.29</v>
      </c>
      <c r="E232">
        <v>727.95</v>
      </c>
      <c r="F232">
        <v>34.15</v>
      </c>
      <c r="G232">
        <v>4824</v>
      </c>
      <c r="H232" t="str">
        <f t="shared" si="28"/>
        <v>0-5000</v>
      </c>
      <c r="I232">
        <f t="shared" si="29"/>
        <v>2200.21</v>
      </c>
      <c r="J232" s="3">
        <f t="shared" si="30"/>
        <v>0.45609660033167498</v>
      </c>
      <c r="K232">
        <f t="shared" si="31"/>
        <v>807.20999999999992</v>
      </c>
      <c r="L232">
        <f t="shared" si="32"/>
        <v>630.90000000000009</v>
      </c>
      <c r="M232">
        <f t="shared" si="33"/>
        <v>34.15</v>
      </c>
      <c r="N232">
        <f t="shared" si="34"/>
        <v>727.95</v>
      </c>
      <c r="O232">
        <f t="shared" si="35"/>
        <v>1438.1100000000001</v>
      </c>
      <c r="P232">
        <f t="shared" si="36"/>
        <v>762.1</v>
      </c>
    </row>
    <row r="233" spans="1:16" x14ac:dyDescent="0.35">
      <c r="A233">
        <v>106.55</v>
      </c>
      <c r="B233">
        <v>181.42</v>
      </c>
      <c r="C233">
        <v>343.32</v>
      </c>
      <c r="D233">
        <v>581.92999999999995</v>
      </c>
      <c r="E233">
        <v>664.95</v>
      </c>
      <c r="F233">
        <v>600.27</v>
      </c>
      <c r="G233">
        <v>5934</v>
      </c>
      <c r="H233" t="str">
        <f t="shared" si="28"/>
        <v>5000-6999</v>
      </c>
      <c r="I233">
        <f t="shared" si="29"/>
        <v>2478.4399999999996</v>
      </c>
      <c r="J233" s="3">
        <f t="shared" si="30"/>
        <v>0.41766767778901243</v>
      </c>
      <c r="K233">
        <f t="shared" si="31"/>
        <v>287.96999999999997</v>
      </c>
      <c r="L233">
        <f t="shared" si="32"/>
        <v>925.25</v>
      </c>
      <c r="M233">
        <f t="shared" si="33"/>
        <v>600.27</v>
      </c>
      <c r="N233">
        <f t="shared" si="34"/>
        <v>664.95</v>
      </c>
      <c r="O233">
        <f t="shared" si="35"/>
        <v>1213.22</v>
      </c>
      <c r="P233">
        <f t="shared" si="36"/>
        <v>1265.22</v>
      </c>
    </row>
    <row r="234" spans="1:16" x14ac:dyDescent="0.35">
      <c r="A234">
        <v>866.83</v>
      </c>
      <c r="B234">
        <v>327.32</v>
      </c>
      <c r="C234">
        <v>20.61</v>
      </c>
      <c r="D234">
        <v>354.38</v>
      </c>
      <c r="E234">
        <v>834.56</v>
      </c>
      <c r="F234">
        <v>638.98</v>
      </c>
      <c r="G234">
        <v>7180</v>
      </c>
      <c r="H234" t="str">
        <f t="shared" si="28"/>
        <v>7000-8999</v>
      </c>
      <c r="I234">
        <f t="shared" si="29"/>
        <v>3042.68</v>
      </c>
      <c r="J234" s="3">
        <f t="shared" si="30"/>
        <v>0.42377158774373258</v>
      </c>
      <c r="K234">
        <f t="shared" si="31"/>
        <v>1194.1500000000001</v>
      </c>
      <c r="L234">
        <f t="shared" si="32"/>
        <v>374.99</v>
      </c>
      <c r="M234">
        <f t="shared" si="33"/>
        <v>638.98</v>
      </c>
      <c r="N234">
        <f t="shared" si="34"/>
        <v>834.56</v>
      </c>
      <c r="O234">
        <f t="shared" si="35"/>
        <v>1569.14</v>
      </c>
      <c r="P234">
        <f t="shared" si="36"/>
        <v>1473.54</v>
      </c>
    </row>
    <row r="235" spans="1:16" x14ac:dyDescent="0.35">
      <c r="A235">
        <v>143.05000000000001</v>
      </c>
      <c r="B235">
        <v>722.7</v>
      </c>
      <c r="C235">
        <v>141.99</v>
      </c>
      <c r="D235">
        <v>953.58</v>
      </c>
      <c r="E235">
        <v>48.53</v>
      </c>
      <c r="F235">
        <v>797.64</v>
      </c>
      <c r="G235">
        <v>8297</v>
      </c>
      <c r="H235" t="str">
        <f t="shared" si="28"/>
        <v>7000-8999</v>
      </c>
      <c r="I235">
        <f t="shared" si="29"/>
        <v>2807.4900000000002</v>
      </c>
      <c r="J235" s="3">
        <f t="shared" si="30"/>
        <v>0.33837411112450289</v>
      </c>
      <c r="K235">
        <f t="shared" si="31"/>
        <v>865.75</v>
      </c>
      <c r="L235">
        <f t="shared" si="32"/>
        <v>1095.5700000000002</v>
      </c>
      <c r="M235">
        <f t="shared" si="33"/>
        <v>797.64</v>
      </c>
      <c r="N235">
        <f t="shared" si="34"/>
        <v>48.53</v>
      </c>
      <c r="O235">
        <f t="shared" si="35"/>
        <v>1961.3200000000002</v>
      </c>
      <c r="P235">
        <f t="shared" si="36"/>
        <v>846.17</v>
      </c>
    </row>
    <row r="236" spans="1:16" x14ac:dyDescent="0.35">
      <c r="A236">
        <v>428.61</v>
      </c>
      <c r="B236">
        <v>610.14</v>
      </c>
      <c r="C236">
        <v>959.11</v>
      </c>
      <c r="D236">
        <v>583.57000000000005</v>
      </c>
      <c r="E236">
        <v>524.53</v>
      </c>
      <c r="F236">
        <v>617.94000000000005</v>
      </c>
      <c r="G236">
        <v>8683</v>
      </c>
      <c r="H236" t="str">
        <f t="shared" si="28"/>
        <v>7000-8999</v>
      </c>
      <c r="I236">
        <f t="shared" si="29"/>
        <v>3723.9</v>
      </c>
      <c r="J236" s="3">
        <f t="shared" si="30"/>
        <v>0.42887250950132444</v>
      </c>
      <c r="K236">
        <f t="shared" si="31"/>
        <v>1038.75</v>
      </c>
      <c r="L236">
        <f t="shared" si="32"/>
        <v>1542.68</v>
      </c>
      <c r="M236">
        <f t="shared" si="33"/>
        <v>617.94000000000005</v>
      </c>
      <c r="N236">
        <f t="shared" si="34"/>
        <v>524.53</v>
      </c>
      <c r="O236">
        <f t="shared" si="35"/>
        <v>2581.4300000000003</v>
      </c>
      <c r="P236">
        <f t="shared" si="36"/>
        <v>1142.47</v>
      </c>
    </row>
    <row r="237" spans="1:16" x14ac:dyDescent="0.35">
      <c r="A237">
        <v>70.41</v>
      </c>
      <c r="B237">
        <v>957.97</v>
      </c>
      <c r="C237">
        <v>459.46</v>
      </c>
      <c r="D237">
        <v>384.3</v>
      </c>
      <c r="E237">
        <v>624.25</v>
      </c>
      <c r="F237">
        <v>325.35000000000002</v>
      </c>
      <c r="G237">
        <v>6724</v>
      </c>
      <c r="H237" t="str">
        <f t="shared" si="28"/>
        <v>5000-6999</v>
      </c>
      <c r="I237">
        <f t="shared" si="29"/>
        <v>2821.7400000000002</v>
      </c>
      <c r="J237" s="3">
        <f t="shared" si="30"/>
        <v>0.41965199286139204</v>
      </c>
      <c r="K237">
        <f t="shared" si="31"/>
        <v>1028.3800000000001</v>
      </c>
      <c r="L237">
        <f t="shared" si="32"/>
        <v>843.76</v>
      </c>
      <c r="M237">
        <f t="shared" si="33"/>
        <v>325.35000000000002</v>
      </c>
      <c r="N237">
        <f t="shared" si="34"/>
        <v>624.25</v>
      </c>
      <c r="O237">
        <f t="shared" si="35"/>
        <v>1872.14</v>
      </c>
      <c r="P237">
        <f t="shared" si="36"/>
        <v>949.6</v>
      </c>
    </row>
    <row r="238" spans="1:16" x14ac:dyDescent="0.35">
      <c r="A238">
        <v>981.93</v>
      </c>
      <c r="B238">
        <v>6.37</v>
      </c>
      <c r="C238">
        <v>686.03</v>
      </c>
      <c r="D238">
        <v>398.59</v>
      </c>
      <c r="E238">
        <v>177.39</v>
      </c>
      <c r="F238">
        <v>912.46</v>
      </c>
      <c r="G238">
        <v>7869</v>
      </c>
      <c r="H238" t="str">
        <f t="shared" si="28"/>
        <v>7000-8999</v>
      </c>
      <c r="I238">
        <f t="shared" si="29"/>
        <v>3162.77</v>
      </c>
      <c r="J238" s="3">
        <f t="shared" si="30"/>
        <v>0.40192781802007876</v>
      </c>
      <c r="K238">
        <f t="shared" si="31"/>
        <v>988.3</v>
      </c>
      <c r="L238">
        <f t="shared" si="32"/>
        <v>1084.6199999999999</v>
      </c>
      <c r="M238">
        <f t="shared" si="33"/>
        <v>912.46</v>
      </c>
      <c r="N238">
        <f t="shared" si="34"/>
        <v>177.39</v>
      </c>
      <c r="O238">
        <f t="shared" si="35"/>
        <v>2072.92</v>
      </c>
      <c r="P238">
        <f t="shared" si="36"/>
        <v>1089.8499999999999</v>
      </c>
    </row>
    <row r="239" spans="1:16" x14ac:dyDescent="0.35">
      <c r="A239">
        <v>482.12</v>
      </c>
      <c r="B239">
        <v>964.76</v>
      </c>
      <c r="C239">
        <v>408.23</v>
      </c>
      <c r="D239">
        <v>284.39</v>
      </c>
      <c r="E239">
        <v>497.79</v>
      </c>
      <c r="F239">
        <v>30.48</v>
      </c>
      <c r="G239">
        <v>5897</v>
      </c>
      <c r="H239" t="str">
        <f t="shared" si="28"/>
        <v>5000-6999</v>
      </c>
      <c r="I239">
        <f t="shared" si="29"/>
        <v>2667.77</v>
      </c>
      <c r="J239" s="3">
        <f t="shared" si="30"/>
        <v>0.45239443784975408</v>
      </c>
      <c r="K239">
        <f t="shared" si="31"/>
        <v>1446.88</v>
      </c>
      <c r="L239">
        <f t="shared" si="32"/>
        <v>692.62</v>
      </c>
      <c r="M239">
        <f t="shared" si="33"/>
        <v>30.48</v>
      </c>
      <c r="N239">
        <f t="shared" si="34"/>
        <v>497.79</v>
      </c>
      <c r="O239">
        <f t="shared" si="35"/>
        <v>2139.5</v>
      </c>
      <c r="P239">
        <f t="shared" si="36"/>
        <v>528.27</v>
      </c>
    </row>
    <row r="240" spans="1:16" x14ac:dyDescent="0.35">
      <c r="A240">
        <v>952.76</v>
      </c>
      <c r="B240">
        <v>419.16</v>
      </c>
      <c r="C240">
        <v>154.41</v>
      </c>
      <c r="D240">
        <v>325.73</v>
      </c>
      <c r="E240">
        <v>696.88</v>
      </c>
      <c r="F240">
        <v>839.26</v>
      </c>
      <c r="G240">
        <v>8396</v>
      </c>
      <c r="H240" t="str">
        <f t="shared" si="28"/>
        <v>7000-8999</v>
      </c>
      <c r="I240">
        <f t="shared" si="29"/>
        <v>3388.2</v>
      </c>
      <c r="J240" s="3">
        <f t="shared" si="30"/>
        <v>0.40354930919485466</v>
      </c>
      <c r="K240">
        <f t="shared" si="31"/>
        <v>1371.92</v>
      </c>
      <c r="L240">
        <f t="shared" si="32"/>
        <v>480.14</v>
      </c>
      <c r="M240">
        <f t="shared" si="33"/>
        <v>839.26</v>
      </c>
      <c r="N240">
        <f t="shared" si="34"/>
        <v>696.88</v>
      </c>
      <c r="O240">
        <f t="shared" si="35"/>
        <v>1852.06</v>
      </c>
      <c r="P240">
        <f t="shared" si="36"/>
        <v>1536.1399999999999</v>
      </c>
    </row>
    <row r="241" spans="1:16" x14ac:dyDescent="0.35">
      <c r="A241">
        <v>671.4</v>
      </c>
      <c r="B241">
        <v>440.07</v>
      </c>
      <c r="C241">
        <v>891.2</v>
      </c>
      <c r="D241">
        <v>496.54</v>
      </c>
      <c r="E241">
        <v>168.1</v>
      </c>
      <c r="F241">
        <v>693.94</v>
      </c>
      <c r="G241">
        <v>8230</v>
      </c>
      <c r="H241" t="str">
        <f t="shared" si="28"/>
        <v>7000-8999</v>
      </c>
      <c r="I241">
        <f t="shared" si="29"/>
        <v>3361.25</v>
      </c>
      <c r="J241" s="3">
        <f t="shared" si="30"/>
        <v>0.40841433778857839</v>
      </c>
      <c r="K241">
        <f t="shared" si="31"/>
        <v>1111.47</v>
      </c>
      <c r="L241">
        <f t="shared" si="32"/>
        <v>1387.74</v>
      </c>
      <c r="M241">
        <f t="shared" si="33"/>
        <v>693.94</v>
      </c>
      <c r="N241">
        <f t="shared" si="34"/>
        <v>168.1</v>
      </c>
      <c r="O241">
        <f t="shared" si="35"/>
        <v>2499.21</v>
      </c>
      <c r="P241">
        <f t="shared" si="36"/>
        <v>862.04000000000008</v>
      </c>
    </row>
    <row r="242" spans="1:16" x14ac:dyDescent="0.35">
      <c r="A242">
        <v>945.81</v>
      </c>
      <c r="B242">
        <v>130.71</v>
      </c>
      <c r="C242">
        <v>138.81</v>
      </c>
      <c r="D242">
        <v>289.98</v>
      </c>
      <c r="E242">
        <v>113.67</v>
      </c>
      <c r="F242">
        <v>528.82000000000005</v>
      </c>
      <c r="G242">
        <v>5476</v>
      </c>
      <c r="H242" t="str">
        <f t="shared" si="28"/>
        <v>5000-6999</v>
      </c>
      <c r="I242">
        <f t="shared" si="29"/>
        <v>2147.8000000000002</v>
      </c>
      <c r="J242" s="3">
        <f t="shared" si="30"/>
        <v>0.39222059897735578</v>
      </c>
      <c r="K242">
        <f t="shared" si="31"/>
        <v>1076.52</v>
      </c>
      <c r="L242">
        <f t="shared" si="32"/>
        <v>428.79</v>
      </c>
      <c r="M242">
        <f t="shared" si="33"/>
        <v>528.82000000000005</v>
      </c>
      <c r="N242">
        <f t="shared" si="34"/>
        <v>113.67</v>
      </c>
      <c r="O242">
        <f t="shared" si="35"/>
        <v>1505.31</v>
      </c>
      <c r="P242">
        <f t="shared" si="36"/>
        <v>642.49</v>
      </c>
    </row>
    <row r="243" spans="1:16" x14ac:dyDescent="0.35">
      <c r="A243">
        <v>769.35</v>
      </c>
      <c r="B243">
        <v>155.06</v>
      </c>
      <c r="C243">
        <v>481.46</v>
      </c>
      <c r="D243">
        <v>769.67</v>
      </c>
      <c r="E243">
        <v>87.96</v>
      </c>
      <c r="F243">
        <v>132.66999999999999</v>
      </c>
      <c r="G243">
        <v>5280</v>
      </c>
      <c r="H243" t="str">
        <f t="shared" si="28"/>
        <v>5000-6999</v>
      </c>
      <c r="I243">
        <f t="shared" si="29"/>
        <v>2396.17</v>
      </c>
      <c r="J243" s="3">
        <f t="shared" si="30"/>
        <v>0.45382007575757577</v>
      </c>
      <c r="K243">
        <f t="shared" si="31"/>
        <v>924.41000000000008</v>
      </c>
      <c r="L243">
        <f t="shared" si="32"/>
        <v>1251.1299999999999</v>
      </c>
      <c r="M243">
        <f t="shared" si="33"/>
        <v>132.66999999999999</v>
      </c>
      <c r="N243">
        <f t="shared" si="34"/>
        <v>87.96</v>
      </c>
      <c r="O243">
        <f t="shared" si="35"/>
        <v>2175.54</v>
      </c>
      <c r="P243">
        <f t="shared" si="36"/>
        <v>220.63</v>
      </c>
    </row>
    <row r="244" spans="1:16" x14ac:dyDescent="0.35">
      <c r="A244">
        <v>810.69</v>
      </c>
      <c r="B244">
        <v>34.08</v>
      </c>
      <c r="C244">
        <v>738.91</v>
      </c>
      <c r="D244">
        <v>962.41</v>
      </c>
      <c r="E244">
        <v>77.52</v>
      </c>
      <c r="F244">
        <v>581.26</v>
      </c>
      <c r="G244">
        <v>7659</v>
      </c>
      <c r="H244" t="str">
        <f t="shared" si="28"/>
        <v>7000-8999</v>
      </c>
      <c r="I244">
        <f t="shared" si="29"/>
        <v>3204.87</v>
      </c>
      <c r="J244" s="3">
        <f t="shared" si="30"/>
        <v>0.41844496670583625</v>
      </c>
      <c r="K244">
        <f t="shared" si="31"/>
        <v>844.7700000000001</v>
      </c>
      <c r="L244">
        <f t="shared" si="32"/>
        <v>1701.32</v>
      </c>
      <c r="M244">
        <f t="shared" si="33"/>
        <v>581.26</v>
      </c>
      <c r="N244">
        <f t="shared" si="34"/>
        <v>77.52</v>
      </c>
      <c r="O244">
        <f t="shared" si="35"/>
        <v>2546.09</v>
      </c>
      <c r="P244">
        <f t="shared" si="36"/>
        <v>658.78</v>
      </c>
    </row>
    <row r="245" spans="1:16" x14ac:dyDescent="0.35">
      <c r="A245">
        <v>913.39</v>
      </c>
      <c r="B245">
        <v>157.33000000000001</v>
      </c>
      <c r="C245">
        <v>463.79</v>
      </c>
      <c r="D245">
        <v>946.4</v>
      </c>
      <c r="E245">
        <v>13.05</v>
      </c>
      <c r="F245">
        <v>406.3</v>
      </c>
      <c r="G245">
        <v>7006</v>
      </c>
      <c r="H245" t="str">
        <f t="shared" si="28"/>
        <v>7000-8999</v>
      </c>
      <c r="I245">
        <f t="shared" si="29"/>
        <v>2900.26</v>
      </c>
      <c r="J245" s="3">
        <f t="shared" si="30"/>
        <v>0.41396802740508137</v>
      </c>
      <c r="K245">
        <f t="shared" si="31"/>
        <v>1070.72</v>
      </c>
      <c r="L245">
        <f t="shared" si="32"/>
        <v>1410.19</v>
      </c>
      <c r="M245">
        <f t="shared" si="33"/>
        <v>406.3</v>
      </c>
      <c r="N245">
        <f t="shared" si="34"/>
        <v>13.05</v>
      </c>
      <c r="O245">
        <f t="shared" si="35"/>
        <v>2480.91</v>
      </c>
      <c r="P245">
        <f t="shared" si="36"/>
        <v>419.35</v>
      </c>
    </row>
    <row r="246" spans="1:16" x14ac:dyDescent="0.35">
      <c r="A246">
        <v>141.9</v>
      </c>
      <c r="B246">
        <v>152.56</v>
      </c>
      <c r="C246">
        <v>943.03</v>
      </c>
      <c r="D246">
        <v>410.78</v>
      </c>
      <c r="E246">
        <v>185.91</v>
      </c>
      <c r="F246">
        <v>661.03</v>
      </c>
      <c r="G246">
        <v>6045</v>
      </c>
      <c r="H246" t="str">
        <f t="shared" si="28"/>
        <v>5000-6999</v>
      </c>
      <c r="I246">
        <f t="shared" si="29"/>
        <v>2495.21</v>
      </c>
      <c r="J246" s="3">
        <f t="shared" si="30"/>
        <v>0.41277253928866831</v>
      </c>
      <c r="K246">
        <f t="shared" si="31"/>
        <v>294.46000000000004</v>
      </c>
      <c r="L246">
        <f t="shared" si="32"/>
        <v>1353.81</v>
      </c>
      <c r="M246">
        <f t="shared" si="33"/>
        <v>661.03</v>
      </c>
      <c r="N246">
        <f t="shared" si="34"/>
        <v>185.91</v>
      </c>
      <c r="O246">
        <f t="shared" si="35"/>
        <v>1648.27</v>
      </c>
      <c r="P246">
        <f t="shared" si="36"/>
        <v>846.93999999999994</v>
      </c>
    </row>
    <row r="247" spans="1:16" x14ac:dyDescent="0.35">
      <c r="A247">
        <v>4.33</v>
      </c>
      <c r="B247">
        <v>593.79</v>
      </c>
      <c r="C247">
        <v>71.45</v>
      </c>
      <c r="D247">
        <v>454.6</v>
      </c>
      <c r="E247">
        <v>980.12</v>
      </c>
      <c r="F247">
        <v>295.33</v>
      </c>
      <c r="G247">
        <v>5386</v>
      </c>
      <c r="H247" t="str">
        <f t="shared" si="28"/>
        <v>5000-6999</v>
      </c>
      <c r="I247">
        <f t="shared" si="29"/>
        <v>2399.62</v>
      </c>
      <c r="J247" s="3">
        <f t="shared" si="30"/>
        <v>0.44552914964723356</v>
      </c>
      <c r="K247">
        <f t="shared" si="31"/>
        <v>598.12</v>
      </c>
      <c r="L247">
        <f t="shared" si="32"/>
        <v>526.05000000000007</v>
      </c>
      <c r="M247">
        <f t="shared" si="33"/>
        <v>295.33</v>
      </c>
      <c r="N247">
        <f t="shared" si="34"/>
        <v>980.12</v>
      </c>
      <c r="O247">
        <f t="shared" si="35"/>
        <v>1124.17</v>
      </c>
      <c r="P247">
        <f t="shared" si="36"/>
        <v>1275.45</v>
      </c>
    </row>
    <row r="248" spans="1:16" x14ac:dyDescent="0.35">
      <c r="A248">
        <v>224.05</v>
      </c>
      <c r="B248">
        <v>637.58000000000004</v>
      </c>
      <c r="C248">
        <v>183.57</v>
      </c>
      <c r="D248">
        <v>184.65</v>
      </c>
      <c r="E248">
        <v>264.44</v>
      </c>
      <c r="F248">
        <v>87.95</v>
      </c>
      <c r="G248">
        <v>3765</v>
      </c>
      <c r="H248" t="str">
        <f t="shared" si="28"/>
        <v>0-5000</v>
      </c>
      <c r="I248">
        <f t="shared" si="29"/>
        <v>1582.2400000000002</v>
      </c>
      <c r="J248" s="3">
        <f t="shared" si="30"/>
        <v>0.42024966799468799</v>
      </c>
      <c r="K248">
        <f t="shared" si="31"/>
        <v>861.63000000000011</v>
      </c>
      <c r="L248">
        <f t="shared" si="32"/>
        <v>368.22</v>
      </c>
      <c r="M248">
        <f t="shared" si="33"/>
        <v>87.95</v>
      </c>
      <c r="N248">
        <f t="shared" si="34"/>
        <v>264.44</v>
      </c>
      <c r="O248">
        <f t="shared" si="35"/>
        <v>1229.8500000000001</v>
      </c>
      <c r="P248">
        <f t="shared" si="36"/>
        <v>352.39</v>
      </c>
    </row>
    <row r="249" spans="1:16" x14ac:dyDescent="0.35">
      <c r="A249">
        <v>930.75</v>
      </c>
      <c r="B249">
        <v>560.91</v>
      </c>
      <c r="C249">
        <v>727.85</v>
      </c>
      <c r="D249">
        <v>166.23</v>
      </c>
      <c r="E249">
        <v>961.25</v>
      </c>
      <c r="F249">
        <v>919.77</v>
      </c>
      <c r="G249">
        <v>9874</v>
      </c>
      <c r="H249" t="str">
        <f t="shared" si="28"/>
        <v>9000+</v>
      </c>
      <c r="I249">
        <f t="shared" si="29"/>
        <v>4266.76</v>
      </c>
      <c r="J249" s="3">
        <f t="shared" si="30"/>
        <v>0.43212072108567956</v>
      </c>
      <c r="K249">
        <f t="shared" si="31"/>
        <v>1491.6599999999999</v>
      </c>
      <c r="L249">
        <f t="shared" si="32"/>
        <v>894.08</v>
      </c>
      <c r="M249">
        <f t="shared" si="33"/>
        <v>919.77</v>
      </c>
      <c r="N249">
        <f t="shared" si="34"/>
        <v>961.25</v>
      </c>
      <c r="O249">
        <f t="shared" si="35"/>
        <v>2385.7399999999998</v>
      </c>
      <c r="P249">
        <f t="shared" si="36"/>
        <v>1881.02</v>
      </c>
    </row>
    <row r="250" spans="1:16" x14ac:dyDescent="0.35">
      <c r="A250">
        <v>479.78</v>
      </c>
      <c r="B250">
        <v>387.17</v>
      </c>
      <c r="C250">
        <v>447.56</v>
      </c>
      <c r="D250">
        <v>226.57</v>
      </c>
      <c r="E250">
        <v>527.55999999999995</v>
      </c>
      <c r="F250">
        <v>676.01</v>
      </c>
      <c r="G250">
        <v>6693</v>
      </c>
      <c r="H250" t="str">
        <f t="shared" si="28"/>
        <v>5000-6999</v>
      </c>
      <c r="I250">
        <f t="shared" si="29"/>
        <v>2744.6499999999996</v>
      </c>
      <c r="J250" s="3">
        <f t="shared" si="30"/>
        <v>0.41007769311220671</v>
      </c>
      <c r="K250">
        <f t="shared" si="31"/>
        <v>866.95</v>
      </c>
      <c r="L250">
        <f t="shared" si="32"/>
        <v>674.13</v>
      </c>
      <c r="M250">
        <f t="shared" si="33"/>
        <v>676.01</v>
      </c>
      <c r="N250">
        <f t="shared" si="34"/>
        <v>527.55999999999995</v>
      </c>
      <c r="O250">
        <f t="shared" si="35"/>
        <v>1541.08</v>
      </c>
      <c r="P250">
        <f t="shared" si="36"/>
        <v>1203.57</v>
      </c>
    </row>
    <row r="251" spans="1:16" x14ac:dyDescent="0.35">
      <c r="A251">
        <v>904.41</v>
      </c>
      <c r="B251">
        <v>309.92</v>
      </c>
      <c r="C251">
        <v>892.82</v>
      </c>
      <c r="D251">
        <v>39.880000000000003</v>
      </c>
      <c r="E251">
        <v>675.5</v>
      </c>
      <c r="F251">
        <v>451.65</v>
      </c>
      <c r="G251">
        <v>6797</v>
      </c>
      <c r="H251" t="str">
        <f t="shared" si="28"/>
        <v>5000-6999</v>
      </c>
      <c r="I251">
        <f t="shared" si="29"/>
        <v>3274.1800000000003</v>
      </c>
      <c r="J251" s="3">
        <f t="shared" si="30"/>
        <v>0.48170957775489193</v>
      </c>
      <c r="K251">
        <f t="shared" si="31"/>
        <v>1214.33</v>
      </c>
      <c r="L251">
        <f t="shared" si="32"/>
        <v>932.7</v>
      </c>
      <c r="M251">
        <f t="shared" si="33"/>
        <v>451.65</v>
      </c>
      <c r="N251">
        <f t="shared" si="34"/>
        <v>675.5</v>
      </c>
      <c r="O251">
        <f t="shared" si="35"/>
        <v>2147.0299999999997</v>
      </c>
      <c r="P251">
        <f t="shared" si="36"/>
        <v>1127.1500000000001</v>
      </c>
    </row>
    <row r="252" spans="1:16" x14ac:dyDescent="0.35">
      <c r="A252">
        <v>649.55999999999995</v>
      </c>
      <c r="B252">
        <v>473.91</v>
      </c>
      <c r="C252">
        <v>390.02</v>
      </c>
      <c r="D252">
        <v>660.73</v>
      </c>
      <c r="E252">
        <v>565.49</v>
      </c>
      <c r="F252">
        <v>978.82</v>
      </c>
      <c r="G252">
        <v>9540</v>
      </c>
      <c r="H252" t="str">
        <f t="shared" si="28"/>
        <v>9000+</v>
      </c>
      <c r="I252">
        <f t="shared" si="29"/>
        <v>3718.53</v>
      </c>
      <c r="J252" s="3">
        <f t="shared" si="30"/>
        <v>0.38978301886792455</v>
      </c>
      <c r="K252">
        <f t="shared" si="31"/>
        <v>1123.47</v>
      </c>
      <c r="L252">
        <f t="shared" si="32"/>
        <v>1050.75</v>
      </c>
      <c r="M252">
        <f t="shared" si="33"/>
        <v>978.82</v>
      </c>
      <c r="N252">
        <f t="shared" si="34"/>
        <v>565.49</v>
      </c>
      <c r="O252">
        <f t="shared" si="35"/>
        <v>2174.2200000000003</v>
      </c>
      <c r="P252">
        <f t="shared" si="36"/>
        <v>1544.31</v>
      </c>
    </row>
    <row r="253" spans="1:16" x14ac:dyDescent="0.35">
      <c r="A253">
        <v>811.14</v>
      </c>
      <c r="B253">
        <v>506.9</v>
      </c>
      <c r="C253">
        <v>860.52</v>
      </c>
      <c r="D253">
        <v>123.44</v>
      </c>
      <c r="E253">
        <v>96.87</v>
      </c>
      <c r="F253">
        <v>189.13</v>
      </c>
      <c r="G253">
        <v>5606</v>
      </c>
      <c r="H253" t="str">
        <f t="shared" si="28"/>
        <v>5000-6999</v>
      </c>
      <c r="I253">
        <f t="shared" si="29"/>
        <v>2588</v>
      </c>
      <c r="J253" s="3">
        <f t="shared" si="30"/>
        <v>0.46164823403496252</v>
      </c>
      <c r="K253">
        <f t="shared" si="31"/>
        <v>1318.04</v>
      </c>
      <c r="L253">
        <f t="shared" si="32"/>
        <v>983.96</v>
      </c>
      <c r="M253">
        <f t="shared" si="33"/>
        <v>189.13</v>
      </c>
      <c r="N253">
        <f t="shared" si="34"/>
        <v>96.87</v>
      </c>
      <c r="O253">
        <f t="shared" si="35"/>
        <v>2302</v>
      </c>
      <c r="P253">
        <f t="shared" si="36"/>
        <v>286</v>
      </c>
    </row>
    <row r="254" spans="1:16" x14ac:dyDescent="0.35">
      <c r="A254">
        <v>858.89</v>
      </c>
      <c r="B254">
        <v>724.24</v>
      </c>
      <c r="C254">
        <v>890.81</v>
      </c>
      <c r="D254">
        <v>472.84</v>
      </c>
      <c r="E254">
        <v>74.94</v>
      </c>
      <c r="F254">
        <v>662.99</v>
      </c>
      <c r="G254">
        <v>9156</v>
      </c>
      <c r="H254" t="str">
        <f t="shared" si="28"/>
        <v>9000+</v>
      </c>
      <c r="I254">
        <f t="shared" si="29"/>
        <v>3684.71</v>
      </c>
      <c r="J254" s="3">
        <f t="shared" si="30"/>
        <v>0.40243665356050679</v>
      </c>
      <c r="K254">
        <f t="shared" si="31"/>
        <v>1583.13</v>
      </c>
      <c r="L254">
        <f t="shared" si="32"/>
        <v>1363.6499999999999</v>
      </c>
      <c r="M254">
        <f t="shared" si="33"/>
        <v>662.99</v>
      </c>
      <c r="N254">
        <f t="shared" si="34"/>
        <v>74.94</v>
      </c>
      <c r="O254">
        <f t="shared" si="35"/>
        <v>2946.7799999999997</v>
      </c>
      <c r="P254">
        <f t="shared" si="36"/>
        <v>737.93000000000006</v>
      </c>
    </row>
    <row r="255" spans="1:16" x14ac:dyDescent="0.35">
      <c r="A255">
        <v>642.89</v>
      </c>
      <c r="B255">
        <v>203.27</v>
      </c>
      <c r="C255">
        <v>769.51</v>
      </c>
      <c r="D255">
        <v>475.05</v>
      </c>
      <c r="E255">
        <v>732.54</v>
      </c>
      <c r="F255">
        <v>150.62</v>
      </c>
      <c r="G255">
        <v>5729</v>
      </c>
      <c r="H255" t="str">
        <f t="shared" si="28"/>
        <v>5000-6999</v>
      </c>
      <c r="I255">
        <f t="shared" si="29"/>
        <v>2973.88</v>
      </c>
      <c r="J255" s="3">
        <f t="shared" si="30"/>
        <v>0.51909233723162862</v>
      </c>
      <c r="K255">
        <f t="shared" si="31"/>
        <v>846.16</v>
      </c>
      <c r="L255">
        <f t="shared" si="32"/>
        <v>1244.56</v>
      </c>
      <c r="M255">
        <f t="shared" si="33"/>
        <v>150.62</v>
      </c>
      <c r="N255">
        <f t="shared" si="34"/>
        <v>732.54</v>
      </c>
      <c r="O255">
        <f t="shared" si="35"/>
        <v>2090.7199999999998</v>
      </c>
      <c r="P255">
        <f t="shared" si="36"/>
        <v>883.16</v>
      </c>
    </row>
    <row r="256" spans="1:16" x14ac:dyDescent="0.35">
      <c r="A256">
        <v>978.38</v>
      </c>
      <c r="B256">
        <v>847.76</v>
      </c>
      <c r="C256">
        <v>438.63</v>
      </c>
      <c r="D256">
        <v>151.49</v>
      </c>
      <c r="E256">
        <v>155.02000000000001</v>
      </c>
      <c r="F256">
        <v>6.74</v>
      </c>
      <c r="G256">
        <v>5735</v>
      </c>
      <c r="H256" t="str">
        <f t="shared" si="28"/>
        <v>5000-6999</v>
      </c>
      <c r="I256">
        <f t="shared" si="29"/>
        <v>2578.02</v>
      </c>
      <c r="J256" s="3">
        <f t="shared" si="30"/>
        <v>0.44952397558849172</v>
      </c>
      <c r="K256">
        <f t="shared" si="31"/>
        <v>1826.1399999999999</v>
      </c>
      <c r="L256">
        <f t="shared" si="32"/>
        <v>590.12</v>
      </c>
      <c r="M256">
        <f t="shared" si="33"/>
        <v>6.74</v>
      </c>
      <c r="N256">
        <f t="shared" si="34"/>
        <v>155.02000000000001</v>
      </c>
      <c r="O256">
        <f t="shared" si="35"/>
        <v>2416.2599999999998</v>
      </c>
      <c r="P256">
        <f t="shared" si="36"/>
        <v>161.76000000000002</v>
      </c>
    </row>
    <row r="257" spans="1:16" x14ac:dyDescent="0.35">
      <c r="A257">
        <v>560.02</v>
      </c>
      <c r="B257">
        <v>772.26</v>
      </c>
      <c r="C257">
        <v>349.56</v>
      </c>
      <c r="D257">
        <v>996.16</v>
      </c>
      <c r="E257">
        <v>360.7</v>
      </c>
      <c r="F257">
        <v>757.59</v>
      </c>
      <c r="G257">
        <v>9901</v>
      </c>
      <c r="H257" t="str">
        <f t="shared" si="28"/>
        <v>9000+</v>
      </c>
      <c r="I257">
        <f t="shared" si="29"/>
        <v>3796.29</v>
      </c>
      <c r="J257" s="3">
        <f t="shared" si="30"/>
        <v>0.38342490657509343</v>
      </c>
      <c r="K257">
        <f t="shared" si="31"/>
        <v>1332.28</v>
      </c>
      <c r="L257">
        <f t="shared" si="32"/>
        <v>1345.72</v>
      </c>
      <c r="M257">
        <f t="shared" si="33"/>
        <v>757.59</v>
      </c>
      <c r="N257">
        <f t="shared" si="34"/>
        <v>360.7</v>
      </c>
      <c r="O257">
        <f t="shared" si="35"/>
        <v>2678</v>
      </c>
      <c r="P257">
        <f t="shared" si="36"/>
        <v>1118.29</v>
      </c>
    </row>
    <row r="258" spans="1:16" x14ac:dyDescent="0.35">
      <c r="A258">
        <v>237.2</v>
      </c>
      <c r="B258">
        <v>299.47000000000003</v>
      </c>
      <c r="C258">
        <v>798.66</v>
      </c>
      <c r="D258">
        <v>268.19</v>
      </c>
      <c r="E258">
        <v>100.13</v>
      </c>
      <c r="F258">
        <v>828.94</v>
      </c>
      <c r="G258">
        <v>6667</v>
      </c>
      <c r="H258" t="str">
        <f t="shared" si="28"/>
        <v>5000-6999</v>
      </c>
      <c r="I258">
        <f t="shared" si="29"/>
        <v>2532.59</v>
      </c>
      <c r="J258" s="3">
        <f t="shared" si="30"/>
        <v>0.37986950652467377</v>
      </c>
      <c r="K258">
        <f t="shared" si="31"/>
        <v>536.67000000000007</v>
      </c>
      <c r="L258">
        <f t="shared" si="32"/>
        <v>1066.8499999999999</v>
      </c>
      <c r="M258">
        <f t="shared" si="33"/>
        <v>828.94</v>
      </c>
      <c r="N258">
        <f t="shared" si="34"/>
        <v>100.13</v>
      </c>
      <c r="O258">
        <f t="shared" si="35"/>
        <v>1603.52</v>
      </c>
      <c r="P258">
        <f t="shared" si="36"/>
        <v>929.07</v>
      </c>
    </row>
    <row r="259" spans="1:16" x14ac:dyDescent="0.35">
      <c r="A259">
        <v>461.89</v>
      </c>
      <c r="B259">
        <v>638.91</v>
      </c>
      <c r="C259">
        <v>566.4</v>
      </c>
      <c r="D259">
        <v>48</v>
      </c>
      <c r="E259">
        <v>677.84</v>
      </c>
      <c r="F259">
        <v>907.75</v>
      </c>
      <c r="G259">
        <v>8248</v>
      </c>
      <c r="H259" t="str">
        <f t="shared" ref="H259:H301" si="37">IF(G259&lt;5000,"0-5000",IF(G259&lt;7000,"5000-6999",IF(G259&lt;9000,"7000-8999","9000+")))</f>
        <v>7000-8999</v>
      </c>
      <c r="I259">
        <f t="shared" ref="I259:I301" si="38">A259+B259+C259+D259+E259+F259</f>
        <v>3300.79</v>
      </c>
      <c r="J259" s="3">
        <f t="shared" ref="J259:J301" si="39">I259/G259</f>
        <v>0.4001927740058196</v>
      </c>
      <c r="K259">
        <f t="shared" ref="K259:K301" si="40">A259+B259</f>
        <v>1100.8</v>
      </c>
      <c r="L259">
        <f t="shared" ref="L259:L301" si="41">C259+D259</f>
        <v>614.4</v>
      </c>
      <c r="M259">
        <f t="shared" ref="M259:M301" si="42">F259</f>
        <v>907.75</v>
      </c>
      <c r="N259">
        <f t="shared" ref="N259:N301" si="43">E259</f>
        <v>677.84</v>
      </c>
      <c r="O259">
        <f t="shared" ref="O259:O301" si="44">K259+L259</f>
        <v>1715.1999999999998</v>
      </c>
      <c r="P259">
        <f t="shared" ref="P259:P301" si="45">M259+N259</f>
        <v>1585.5900000000001</v>
      </c>
    </row>
    <row r="260" spans="1:16" x14ac:dyDescent="0.35">
      <c r="A260">
        <v>928.46</v>
      </c>
      <c r="B260">
        <v>525.72</v>
      </c>
      <c r="C260">
        <v>584.62</v>
      </c>
      <c r="D260">
        <v>709.57</v>
      </c>
      <c r="E260">
        <v>351.45</v>
      </c>
      <c r="F260">
        <v>392.49</v>
      </c>
      <c r="G260">
        <v>8098</v>
      </c>
      <c r="H260" t="str">
        <f t="shared" si="37"/>
        <v>7000-8999</v>
      </c>
      <c r="I260">
        <f t="shared" si="38"/>
        <v>3492.3100000000004</v>
      </c>
      <c r="J260" s="3">
        <f t="shared" si="39"/>
        <v>0.43125586564583851</v>
      </c>
      <c r="K260">
        <f t="shared" si="40"/>
        <v>1454.18</v>
      </c>
      <c r="L260">
        <f t="shared" si="41"/>
        <v>1294.19</v>
      </c>
      <c r="M260">
        <f t="shared" si="42"/>
        <v>392.49</v>
      </c>
      <c r="N260">
        <f t="shared" si="43"/>
        <v>351.45</v>
      </c>
      <c r="O260">
        <f t="shared" si="44"/>
        <v>2748.37</v>
      </c>
      <c r="P260">
        <f t="shared" si="45"/>
        <v>743.94</v>
      </c>
    </row>
    <row r="261" spans="1:16" x14ac:dyDescent="0.35">
      <c r="A261">
        <v>529.95000000000005</v>
      </c>
      <c r="B261">
        <v>191.3</v>
      </c>
      <c r="C261">
        <v>89.94</v>
      </c>
      <c r="D261">
        <v>28.84</v>
      </c>
      <c r="E261">
        <v>507.41</v>
      </c>
      <c r="F261">
        <v>256.91000000000003</v>
      </c>
      <c r="G261">
        <v>3473</v>
      </c>
      <c r="H261" t="str">
        <f t="shared" si="37"/>
        <v>0-5000</v>
      </c>
      <c r="I261">
        <f t="shared" si="38"/>
        <v>1604.3500000000001</v>
      </c>
      <c r="J261" s="3">
        <f t="shared" si="39"/>
        <v>0.4619493233515693</v>
      </c>
      <c r="K261">
        <f t="shared" si="40"/>
        <v>721.25</v>
      </c>
      <c r="L261">
        <f t="shared" si="41"/>
        <v>118.78</v>
      </c>
      <c r="M261">
        <f t="shared" si="42"/>
        <v>256.91000000000003</v>
      </c>
      <c r="N261">
        <f t="shared" si="43"/>
        <v>507.41</v>
      </c>
      <c r="O261">
        <f t="shared" si="44"/>
        <v>840.03</v>
      </c>
      <c r="P261">
        <f t="shared" si="45"/>
        <v>764.32</v>
      </c>
    </row>
    <row r="262" spans="1:16" x14ac:dyDescent="0.35">
      <c r="A262">
        <v>723.93</v>
      </c>
      <c r="B262">
        <v>437.97</v>
      </c>
      <c r="C262">
        <v>54.43</v>
      </c>
      <c r="D262">
        <v>877.91</v>
      </c>
      <c r="E262">
        <v>454.95</v>
      </c>
      <c r="F262">
        <v>791.16</v>
      </c>
      <c r="G262">
        <v>8753</v>
      </c>
      <c r="H262" t="str">
        <f t="shared" si="37"/>
        <v>7000-8999</v>
      </c>
      <c r="I262">
        <f t="shared" si="38"/>
        <v>3340.35</v>
      </c>
      <c r="J262" s="3">
        <f t="shared" si="39"/>
        <v>0.38162344339083742</v>
      </c>
      <c r="K262">
        <f t="shared" si="40"/>
        <v>1161.9000000000001</v>
      </c>
      <c r="L262">
        <f t="shared" si="41"/>
        <v>932.33999999999992</v>
      </c>
      <c r="M262">
        <f t="shared" si="42"/>
        <v>791.16</v>
      </c>
      <c r="N262">
        <f t="shared" si="43"/>
        <v>454.95</v>
      </c>
      <c r="O262">
        <f t="shared" si="44"/>
        <v>2094.2399999999998</v>
      </c>
      <c r="P262">
        <f t="shared" si="45"/>
        <v>1246.1099999999999</v>
      </c>
    </row>
    <row r="263" spans="1:16" x14ac:dyDescent="0.35">
      <c r="A263">
        <v>502.27</v>
      </c>
      <c r="B263">
        <v>606.1</v>
      </c>
      <c r="C263">
        <v>113.8</v>
      </c>
      <c r="D263">
        <v>589.36</v>
      </c>
      <c r="E263">
        <v>359.02</v>
      </c>
      <c r="F263">
        <v>878.2</v>
      </c>
      <c r="G263">
        <v>8391</v>
      </c>
      <c r="H263" t="str">
        <f t="shared" si="37"/>
        <v>7000-8999</v>
      </c>
      <c r="I263">
        <f t="shared" si="38"/>
        <v>3048.75</v>
      </c>
      <c r="J263" s="3">
        <f t="shared" si="39"/>
        <v>0.36333571683947086</v>
      </c>
      <c r="K263">
        <f t="shared" si="40"/>
        <v>1108.3699999999999</v>
      </c>
      <c r="L263">
        <f t="shared" si="41"/>
        <v>703.16</v>
      </c>
      <c r="M263">
        <f t="shared" si="42"/>
        <v>878.2</v>
      </c>
      <c r="N263">
        <f t="shared" si="43"/>
        <v>359.02</v>
      </c>
      <c r="O263">
        <f t="shared" si="44"/>
        <v>1811.5299999999997</v>
      </c>
      <c r="P263">
        <f t="shared" si="45"/>
        <v>1237.22</v>
      </c>
    </row>
    <row r="264" spans="1:16" x14ac:dyDescent="0.35">
      <c r="A264">
        <v>152.72</v>
      </c>
      <c r="B264">
        <v>72.900000000000006</v>
      </c>
      <c r="C264">
        <v>746.8</v>
      </c>
      <c r="D264">
        <v>295.79000000000002</v>
      </c>
      <c r="E264">
        <v>708.24</v>
      </c>
      <c r="F264">
        <v>274.36</v>
      </c>
      <c r="G264">
        <v>4333</v>
      </c>
      <c r="H264" t="str">
        <f t="shared" si="37"/>
        <v>0-5000</v>
      </c>
      <c r="I264">
        <f t="shared" si="38"/>
        <v>2250.81</v>
      </c>
      <c r="J264" s="3">
        <f t="shared" si="39"/>
        <v>0.51945765058850679</v>
      </c>
      <c r="K264">
        <f t="shared" si="40"/>
        <v>225.62</v>
      </c>
      <c r="L264">
        <f t="shared" si="41"/>
        <v>1042.5899999999999</v>
      </c>
      <c r="M264">
        <f t="shared" si="42"/>
        <v>274.36</v>
      </c>
      <c r="N264">
        <f t="shared" si="43"/>
        <v>708.24</v>
      </c>
      <c r="O264">
        <f t="shared" si="44"/>
        <v>1268.21</v>
      </c>
      <c r="P264">
        <f t="shared" si="45"/>
        <v>982.6</v>
      </c>
    </row>
    <row r="265" spans="1:16" x14ac:dyDescent="0.35">
      <c r="A265">
        <v>920.76</v>
      </c>
      <c r="B265">
        <v>365.45</v>
      </c>
      <c r="C265">
        <v>142.94999999999999</v>
      </c>
      <c r="D265">
        <v>416.52</v>
      </c>
      <c r="E265">
        <v>875.27</v>
      </c>
      <c r="F265">
        <v>365.21</v>
      </c>
      <c r="G265">
        <v>6708</v>
      </c>
      <c r="H265" t="str">
        <f t="shared" si="37"/>
        <v>5000-6999</v>
      </c>
      <c r="I265">
        <f t="shared" si="38"/>
        <v>3086.16</v>
      </c>
      <c r="J265" s="3">
        <f t="shared" si="39"/>
        <v>0.46007155635062608</v>
      </c>
      <c r="K265">
        <f t="shared" si="40"/>
        <v>1286.21</v>
      </c>
      <c r="L265">
        <f t="shared" si="41"/>
        <v>559.47</v>
      </c>
      <c r="M265">
        <f t="shared" si="42"/>
        <v>365.21</v>
      </c>
      <c r="N265">
        <f t="shared" si="43"/>
        <v>875.27</v>
      </c>
      <c r="O265">
        <f t="shared" si="44"/>
        <v>1845.68</v>
      </c>
      <c r="P265">
        <f t="shared" si="45"/>
        <v>1240.48</v>
      </c>
    </row>
    <row r="266" spans="1:16" x14ac:dyDescent="0.35">
      <c r="A266">
        <v>48.31</v>
      </c>
      <c r="B266">
        <v>555.19000000000005</v>
      </c>
      <c r="C266">
        <v>305.47000000000003</v>
      </c>
      <c r="D266">
        <v>753.44</v>
      </c>
      <c r="E266">
        <v>174.5</v>
      </c>
      <c r="F266">
        <v>139.46</v>
      </c>
      <c r="G266">
        <v>4878</v>
      </c>
      <c r="H266" t="str">
        <f t="shared" si="37"/>
        <v>0-5000</v>
      </c>
      <c r="I266">
        <f t="shared" si="38"/>
        <v>1976.3700000000001</v>
      </c>
      <c r="J266" s="3">
        <f t="shared" si="39"/>
        <v>0.40515990159901599</v>
      </c>
      <c r="K266">
        <f t="shared" si="40"/>
        <v>603.5</v>
      </c>
      <c r="L266">
        <f t="shared" si="41"/>
        <v>1058.9100000000001</v>
      </c>
      <c r="M266">
        <f t="shared" si="42"/>
        <v>139.46</v>
      </c>
      <c r="N266">
        <f t="shared" si="43"/>
        <v>174.5</v>
      </c>
      <c r="O266">
        <f t="shared" si="44"/>
        <v>1662.41</v>
      </c>
      <c r="P266">
        <f t="shared" si="45"/>
        <v>313.96000000000004</v>
      </c>
    </row>
    <row r="267" spans="1:16" x14ac:dyDescent="0.35">
      <c r="A267">
        <v>622.53</v>
      </c>
      <c r="B267">
        <v>104.12</v>
      </c>
      <c r="C267">
        <v>565.1</v>
      </c>
      <c r="D267">
        <v>584.88</v>
      </c>
      <c r="E267">
        <v>332.65</v>
      </c>
      <c r="F267">
        <v>574.29999999999995</v>
      </c>
      <c r="G267">
        <v>6561</v>
      </c>
      <c r="H267" t="str">
        <f t="shared" si="37"/>
        <v>5000-6999</v>
      </c>
      <c r="I267">
        <f t="shared" si="38"/>
        <v>2783.58</v>
      </c>
      <c r="J267" s="3">
        <f t="shared" si="39"/>
        <v>0.42426154549611339</v>
      </c>
      <c r="K267">
        <f t="shared" si="40"/>
        <v>726.65</v>
      </c>
      <c r="L267">
        <f t="shared" si="41"/>
        <v>1149.98</v>
      </c>
      <c r="M267">
        <f t="shared" si="42"/>
        <v>574.29999999999995</v>
      </c>
      <c r="N267">
        <f t="shared" si="43"/>
        <v>332.65</v>
      </c>
      <c r="O267">
        <f t="shared" si="44"/>
        <v>1876.63</v>
      </c>
      <c r="P267">
        <f t="shared" si="45"/>
        <v>906.94999999999993</v>
      </c>
    </row>
    <row r="268" spans="1:16" x14ac:dyDescent="0.35">
      <c r="A268">
        <v>781.27</v>
      </c>
      <c r="B268">
        <v>786.72</v>
      </c>
      <c r="C268">
        <v>132.53</v>
      </c>
      <c r="D268">
        <v>557.25</v>
      </c>
      <c r="E268">
        <v>486.25</v>
      </c>
      <c r="F268">
        <v>619.96</v>
      </c>
      <c r="G268">
        <v>8574</v>
      </c>
      <c r="H268" t="str">
        <f t="shared" si="37"/>
        <v>7000-8999</v>
      </c>
      <c r="I268">
        <f t="shared" si="38"/>
        <v>3363.98</v>
      </c>
      <c r="J268" s="3">
        <f t="shared" si="39"/>
        <v>0.39234662934452996</v>
      </c>
      <c r="K268">
        <f t="shared" si="40"/>
        <v>1567.99</v>
      </c>
      <c r="L268">
        <f t="shared" si="41"/>
        <v>689.78</v>
      </c>
      <c r="M268">
        <f t="shared" si="42"/>
        <v>619.96</v>
      </c>
      <c r="N268">
        <f t="shared" si="43"/>
        <v>486.25</v>
      </c>
      <c r="O268">
        <f t="shared" si="44"/>
        <v>2257.77</v>
      </c>
      <c r="P268">
        <f t="shared" si="45"/>
        <v>1106.21</v>
      </c>
    </row>
    <row r="269" spans="1:16" x14ac:dyDescent="0.35">
      <c r="A269">
        <v>44.77</v>
      </c>
      <c r="B269">
        <v>462.32</v>
      </c>
      <c r="C269">
        <v>137.03</v>
      </c>
      <c r="D269">
        <v>466.47</v>
      </c>
      <c r="E269">
        <v>897.51</v>
      </c>
      <c r="F269">
        <v>546.67999999999995</v>
      </c>
      <c r="G269">
        <v>6110</v>
      </c>
      <c r="H269" t="str">
        <f t="shared" si="37"/>
        <v>5000-6999</v>
      </c>
      <c r="I269">
        <f t="shared" si="38"/>
        <v>2554.7800000000002</v>
      </c>
      <c r="J269" s="3">
        <f t="shared" si="39"/>
        <v>0.41813093289689035</v>
      </c>
      <c r="K269">
        <f t="shared" si="40"/>
        <v>507.09</v>
      </c>
      <c r="L269">
        <f t="shared" si="41"/>
        <v>603.5</v>
      </c>
      <c r="M269">
        <f t="shared" si="42"/>
        <v>546.67999999999995</v>
      </c>
      <c r="N269">
        <f t="shared" si="43"/>
        <v>897.51</v>
      </c>
      <c r="O269">
        <f t="shared" si="44"/>
        <v>1110.5899999999999</v>
      </c>
      <c r="P269">
        <f t="shared" si="45"/>
        <v>1444.19</v>
      </c>
    </row>
    <row r="270" spans="1:16" x14ac:dyDescent="0.35">
      <c r="A270">
        <v>777.1</v>
      </c>
      <c r="B270">
        <v>202.09</v>
      </c>
      <c r="C270">
        <v>699.92</v>
      </c>
      <c r="D270">
        <v>244.74</v>
      </c>
      <c r="E270">
        <v>471.08</v>
      </c>
      <c r="F270">
        <v>920.77</v>
      </c>
      <c r="G270">
        <v>8088</v>
      </c>
      <c r="H270" t="str">
        <f t="shared" si="37"/>
        <v>7000-8999</v>
      </c>
      <c r="I270">
        <f t="shared" si="38"/>
        <v>3315.7000000000003</v>
      </c>
      <c r="J270" s="3">
        <f t="shared" si="39"/>
        <v>0.40995301681503465</v>
      </c>
      <c r="K270">
        <f t="shared" si="40"/>
        <v>979.19</v>
      </c>
      <c r="L270">
        <f t="shared" si="41"/>
        <v>944.66</v>
      </c>
      <c r="M270">
        <f t="shared" si="42"/>
        <v>920.77</v>
      </c>
      <c r="N270">
        <f t="shared" si="43"/>
        <v>471.08</v>
      </c>
      <c r="O270">
        <f t="shared" si="44"/>
        <v>1923.85</v>
      </c>
      <c r="P270">
        <f t="shared" si="45"/>
        <v>1391.85</v>
      </c>
    </row>
    <row r="271" spans="1:16" x14ac:dyDescent="0.35">
      <c r="A271">
        <v>945.34</v>
      </c>
      <c r="B271">
        <v>825.89</v>
      </c>
      <c r="C271">
        <v>772.2</v>
      </c>
      <c r="D271">
        <v>677.43</v>
      </c>
      <c r="E271">
        <v>401.26</v>
      </c>
      <c r="F271">
        <v>837.18</v>
      </c>
      <c r="G271">
        <v>11062</v>
      </c>
      <c r="H271" t="str">
        <f t="shared" si="37"/>
        <v>9000+</v>
      </c>
      <c r="I271">
        <f t="shared" si="38"/>
        <v>4459.3</v>
      </c>
      <c r="J271" s="3">
        <f t="shared" si="39"/>
        <v>0.40311878502983189</v>
      </c>
      <c r="K271">
        <f t="shared" si="40"/>
        <v>1771.23</v>
      </c>
      <c r="L271">
        <f t="shared" si="41"/>
        <v>1449.63</v>
      </c>
      <c r="M271">
        <f t="shared" si="42"/>
        <v>837.18</v>
      </c>
      <c r="N271">
        <f t="shared" si="43"/>
        <v>401.26</v>
      </c>
      <c r="O271">
        <f t="shared" si="44"/>
        <v>3220.86</v>
      </c>
      <c r="P271">
        <f t="shared" si="45"/>
        <v>1238.44</v>
      </c>
    </row>
    <row r="272" spans="1:16" x14ac:dyDescent="0.35">
      <c r="A272">
        <v>993.92</v>
      </c>
      <c r="B272">
        <v>283.52</v>
      </c>
      <c r="C272">
        <v>528.13</v>
      </c>
      <c r="D272">
        <v>578.70000000000005</v>
      </c>
      <c r="E272">
        <v>529.23</v>
      </c>
      <c r="F272">
        <v>80.86</v>
      </c>
      <c r="G272">
        <v>6026</v>
      </c>
      <c r="H272" t="str">
        <f t="shared" si="37"/>
        <v>5000-6999</v>
      </c>
      <c r="I272">
        <f t="shared" si="38"/>
        <v>2994.3600000000006</v>
      </c>
      <c r="J272" s="3">
        <f t="shared" si="39"/>
        <v>0.49690673747095926</v>
      </c>
      <c r="K272">
        <f t="shared" si="40"/>
        <v>1277.44</v>
      </c>
      <c r="L272">
        <f t="shared" si="41"/>
        <v>1106.83</v>
      </c>
      <c r="M272">
        <f t="shared" si="42"/>
        <v>80.86</v>
      </c>
      <c r="N272">
        <f t="shared" si="43"/>
        <v>529.23</v>
      </c>
      <c r="O272">
        <f t="shared" si="44"/>
        <v>2384.27</v>
      </c>
      <c r="P272">
        <f t="shared" si="45"/>
        <v>610.09</v>
      </c>
    </row>
    <row r="273" spans="1:16" x14ac:dyDescent="0.35">
      <c r="A273">
        <v>867.03</v>
      </c>
      <c r="B273">
        <v>842.62</v>
      </c>
      <c r="C273">
        <v>524.35</v>
      </c>
      <c r="D273">
        <v>861.16</v>
      </c>
      <c r="E273">
        <v>57.55</v>
      </c>
      <c r="F273">
        <v>833.93</v>
      </c>
      <c r="G273">
        <v>10585</v>
      </c>
      <c r="H273" t="str">
        <f t="shared" si="37"/>
        <v>9000+</v>
      </c>
      <c r="I273">
        <f t="shared" si="38"/>
        <v>3986.64</v>
      </c>
      <c r="J273" s="3">
        <f t="shared" si="39"/>
        <v>0.37663108171941423</v>
      </c>
      <c r="K273">
        <f t="shared" si="40"/>
        <v>1709.65</v>
      </c>
      <c r="L273">
        <f t="shared" si="41"/>
        <v>1385.51</v>
      </c>
      <c r="M273">
        <f t="shared" si="42"/>
        <v>833.93</v>
      </c>
      <c r="N273">
        <f t="shared" si="43"/>
        <v>57.55</v>
      </c>
      <c r="O273">
        <f t="shared" si="44"/>
        <v>3095.16</v>
      </c>
      <c r="P273">
        <f t="shared" si="45"/>
        <v>891.4799999999999</v>
      </c>
    </row>
    <row r="274" spans="1:16" x14ac:dyDescent="0.35">
      <c r="A274">
        <v>808.06</v>
      </c>
      <c r="B274">
        <v>485.57</v>
      </c>
      <c r="C274">
        <v>974.78</v>
      </c>
      <c r="D274">
        <v>811.9</v>
      </c>
      <c r="E274">
        <v>103.54</v>
      </c>
      <c r="F274">
        <v>436</v>
      </c>
      <c r="G274">
        <v>8429</v>
      </c>
      <c r="H274" t="str">
        <f t="shared" si="37"/>
        <v>7000-8999</v>
      </c>
      <c r="I274">
        <f t="shared" si="38"/>
        <v>3619.85</v>
      </c>
      <c r="J274" s="3">
        <f t="shared" si="39"/>
        <v>0.42945189227666386</v>
      </c>
      <c r="K274">
        <f t="shared" si="40"/>
        <v>1293.6299999999999</v>
      </c>
      <c r="L274">
        <f t="shared" si="41"/>
        <v>1786.6799999999998</v>
      </c>
      <c r="M274">
        <f t="shared" si="42"/>
        <v>436</v>
      </c>
      <c r="N274">
        <f t="shared" si="43"/>
        <v>103.54</v>
      </c>
      <c r="O274">
        <f t="shared" si="44"/>
        <v>3080.3099999999995</v>
      </c>
      <c r="P274">
        <f t="shared" si="45"/>
        <v>539.54</v>
      </c>
    </row>
    <row r="275" spans="1:16" x14ac:dyDescent="0.35">
      <c r="A275">
        <v>838.61</v>
      </c>
      <c r="B275">
        <v>472.36</v>
      </c>
      <c r="C275">
        <v>451.52</v>
      </c>
      <c r="D275">
        <v>852.62</v>
      </c>
      <c r="E275">
        <v>34.9</v>
      </c>
      <c r="F275">
        <v>664.99</v>
      </c>
      <c r="G275">
        <v>8609</v>
      </c>
      <c r="H275" t="str">
        <f t="shared" si="37"/>
        <v>7000-8999</v>
      </c>
      <c r="I275">
        <f t="shared" si="38"/>
        <v>3315</v>
      </c>
      <c r="J275" s="3">
        <f t="shared" si="39"/>
        <v>0.38506214426762692</v>
      </c>
      <c r="K275">
        <f t="shared" si="40"/>
        <v>1310.97</v>
      </c>
      <c r="L275">
        <f t="shared" si="41"/>
        <v>1304.1399999999999</v>
      </c>
      <c r="M275">
        <f t="shared" si="42"/>
        <v>664.99</v>
      </c>
      <c r="N275">
        <f t="shared" si="43"/>
        <v>34.9</v>
      </c>
      <c r="O275">
        <f t="shared" si="44"/>
        <v>2615.1099999999997</v>
      </c>
      <c r="P275">
        <f t="shared" si="45"/>
        <v>699.89</v>
      </c>
    </row>
    <row r="276" spans="1:16" x14ac:dyDescent="0.35">
      <c r="A276">
        <v>993.84</v>
      </c>
      <c r="B276">
        <v>276.72000000000003</v>
      </c>
      <c r="C276">
        <v>405.45</v>
      </c>
      <c r="D276">
        <v>334.76</v>
      </c>
      <c r="E276">
        <v>95.3</v>
      </c>
      <c r="F276">
        <v>398.06</v>
      </c>
      <c r="G276">
        <v>5970</v>
      </c>
      <c r="H276" t="str">
        <f t="shared" si="37"/>
        <v>5000-6999</v>
      </c>
      <c r="I276">
        <f t="shared" si="38"/>
        <v>2504.13</v>
      </c>
      <c r="J276" s="3">
        <f t="shared" si="39"/>
        <v>0.41945226130653268</v>
      </c>
      <c r="K276">
        <f t="shared" si="40"/>
        <v>1270.56</v>
      </c>
      <c r="L276">
        <f t="shared" si="41"/>
        <v>740.21</v>
      </c>
      <c r="M276">
        <f t="shared" si="42"/>
        <v>398.06</v>
      </c>
      <c r="N276">
        <f t="shared" si="43"/>
        <v>95.3</v>
      </c>
      <c r="O276">
        <f t="shared" si="44"/>
        <v>2010.77</v>
      </c>
      <c r="P276">
        <f t="shared" si="45"/>
        <v>493.36</v>
      </c>
    </row>
    <row r="277" spans="1:16" x14ac:dyDescent="0.35">
      <c r="A277">
        <v>178.84</v>
      </c>
      <c r="B277">
        <v>213.36</v>
      </c>
      <c r="C277">
        <v>752.21</v>
      </c>
      <c r="D277">
        <v>42.51</v>
      </c>
      <c r="E277">
        <v>156.04</v>
      </c>
      <c r="F277">
        <v>419.79</v>
      </c>
      <c r="G277">
        <v>4089</v>
      </c>
      <c r="H277" t="str">
        <f t="shared" si="37"/>
        <v>0-5000</v>
      </c>
      <c r="I277">
        <f t="shared" si="38"/>
        <v>1762.75</v>
      </c>
      <c r="J277" s="3">
        <f t="shared" si="39"/>
        <v>0.43109562240156518</v>
      </c>
      <c r="K277">
        <f t="shared" si="40"/>
        <v>392.20000000000005</v>
      </c>
      <c r="L277">
        <f t="shared" si="41"/>
        <v>794.72</v>
      </c>
      <c r="M277">
        <f t="shared" si="42"/>
        <v>419.79</v>
      </c>
      <c r="N277">
        <f t="shared" si="43"/>
        <v>156.04</v>
      </c>
      <c r="O277">
        <f t="shared" si="44"/>
        <v>1186.92</v>
      </c>
      <c r="P277">
        <f t="shared" si="45"/>
        <v>575.83000000000004</v>
      </c>
    </row>
    <row r="278" spans="1:16" x14ac:dyDescent="0.35">
      <c r="A278">
        <v>380.57</v>
      </c>
      <c r="B278">
        <v>108.41</v>
      </c>
      <c r="C278">
        <v>592.38</v>
      </c>
      <c r="D278">
        <v>723.51</v>
      </c>
      <c r="E278">
        <v>524.08000000000004</v>
      </c>
      <c r="F278">
        <v>177.85</v>
      </c>
      <c r="G278">
        <v>5132</v>
      </c>
      <c r="H278" t="str">
        <f t="shared" si="37"/>
        <v>5000-6999</v>
      </c>
      <c r="I278">
        <f t="shared" si="38"/>
        <v>2506.8000000000002</v>
      </c>
      <c r="J278" s="3">
        <f t="shared" si="39"/>
        <v>0.48846453624318009</v>
      </c>
      <c r="K278">
        <f t="shared" si="40"/>
        <v>488.98</v>
      </c>
      <c r="L278">
        <f t="shared" si="41"/>
        <v>1315.8899999999999</v>
      </c>
      <c r="M278">
        <f t="shared" si="42"/>
        <v>177.85</v>
      </c>
      <c r="N278">
        <f t="shared" si="43"/>
        <v>524.08000000000004</v>
      </c>
      <c r="O278">
        <f t="shared" si="44"/>
        <v>1804.87</v>
      </c>
      <c r="P278">
        <f t="shared" si="45"/>
        <v>701.93000000000006</v>
      </c>
    </row>
    <row r="279" spans="1:16" x14ac:dyDescent="0.35">
      <c r="A279">
        <v>858.69</v>
      </c>
      <c r="B279">
        <v>922.49</v>
      </c>
      <c r="C279">
        <v>694.91</v>
      </c>
      <c r="D279">
        <v>121.48</v>
      </c>
      <c r="E279">
        <v>368.16</v>
      </c>
      <c r="F279">
        <v>788.05</v>
      </c>
      <c r="G279">
        <v>9431</v>
      </c>
      <c r="H279" t="str">
        <f t="shared" si="37"/>
        <v>9000+</v>
      </c>
      <c r="I279">
        <f t="shared" si="38"/>
        <v>3753.7799999999997</v>
      </c>
      <c r="J279" s="3">
        <f t="shared" si="39"/>
        <v>0.39802566005725798</v>
      </c>
      <c r="K279">
        <f t="shared" si="40"/>
        <v>1781.18</v>
      </c>
      <c r="L279">
        <f t="shared" si="41"/>
        <v>816.39</v>
      </c>
      <c r="M279">
        <f t="shared" si="42"/>
        <v>788.05</v>
      </c>
      <c r="N279">
        <f t="shared" si="43"/>
        <v>368.16</v>
      </c>
      <c r="O279">
        <f t="shared" si="44"/>
        <v>2597.5700000000002</v>
      </c>
      <c r="P279">
        <f t="shared" si="45"/>
        <v>1156.21</v>
      </c>
    </row>
    <row r="280" spans="1:16" x14ac:dyDescent="0.35">
      <c r="A280">
        <v>696.38</v>
      </c>
      <c r="B280">
        <v>590.16</v>
      </c>
      <c r="C280">
        <v>651.28</v>
      </c>
      <c r="D280">
        <v>202.29</v>
      </c>
      <c r="E280">
        <v>51.87</v>
      </c>
      <c r="F280">
        <v>956.28</v>
      </c>
      <c r="G280">
        <v>8533</v>
      </c>
      <c r="H280" t="str">
        <f t="shared" si="37"/>
        <v>7000-8999</v>
      </c>
      <c r="I280">
        <f t="shared" si="38"/>
        <v>3148.26</v>
      </c>
      <c r="J280" s="3">
        <f t="shared" si="39"/>
        <v>0.36895113090355097</v>
      </c>
      <c r="K280">
        <f t="shared" si="40"/>
        <v>1286.54</v>
      </c>
      <c r="L280">
        <f t="shared" si="41"/>
        <v>853.56999999999994</v>
      </c>
      <c r="M280">
        <f t="shared" si="42"/>
        <v>956.28</v>
      </c>
      <c r="N280">
        <f t="shared" si="43"/>
        <v>51.87</v>
      </c>
      <c r="O280">
        <f t="shared" si="44"/>
        <v>2140.1099999999997</v>
      </c>
      <c r="P280">
        <f t="shared" si="45"/>
        <v>1008.15</v>
      </c>
    </row>
    <row r="281" spans="1:16" x14ac:dyDescent="0.35">
      <c r="A281">
        <v>408.35</v>
      </c>
      <c r="B281">
        <v>581.63</v>
      </c>
      <c r="C281">
        <v>205.67</v>
      </c>
      <c r="D281">
        <v>712.51</v>
      </c>
      <c r="E281">
        <v>102.98</v>
      </c>
      <c r="F281">
        <v>534.6</v>
      </c>
      <c r="G281">
        <v>6912</v>
      </c>
      <c r="H281" t="str">
        <f t="shared" si="37"/>
        <v>5000-6999</v>
      </c>
      <c r="I281">
        <f t="shared" si="38"/>
        <v>2545.7400000000002</v>
      </c>
      <c r="J281" s="3">
        <f t="shared" si="39"/>
        <v>0.3683072916666667</v>
      </c>
      <c r="K281">
        <f t="shared" si="40"/>
        <v>989.98</v>
      </c>
      <c r="L281">
        <f t="shared" si="41"/>
        <v>918.18</v>
      </c>
      <c r="M281">
        <f t="shared" si="42"/>
        <v>534.6</v>
      </c>
      <c r="N281">
        <f t="shared" si="43"/>
        <v>102.98</v>
      </c>
      <c r="O281">
        <f t="shared" si="44"/>
        <v>1908.1599999999999</v>
      </c>
      <c r="P281">
        <f t="shared" si="45"/>
        <v>637.58000000000004</v>
      </c>
    </row>
    <row r="282" spans="1:16" x14ac:dyDescent="0.35">
      <c r="A282">
        <v>265.94</v>
      </c>
      <c r="B282">
        <v>768.47</v>
      </c>
      <c r="C282">
        <v>756.8</v>
      </c>
      <c r="D282">
        <v>891.25</v>
      </c>
      <c r="E282">
        <v>481.1</v>
      </c>
      <c r="F282">
        <v>179.55</v>
      </c>
      <c r="G282">
        <v>7495</v>
      </c>
      <c r="H282" t="str">
        <f t="shared" si="37"/>
        <v>7000-8999</v>
      </c>
      <c r="I282">
        <f t="shared" si="38"/>
        <v>3343.11</v>
      </c>
      <c r="J282" s="3">
        <f t="shared" si="39"/>
        <v>0.44604536357571717</v>
      </c>
      <c r="K282">
        <f t="shared" si="40"/>
        <v>1034.4100000000001</v>
      </c>
      <c r="L282">
        <f t="shared" si="41"/>
        <v>1648.05</v>
      </c>
      <c r="M282">
        <f t="shared" si="42"/>
        <v>179.55</v>
      </c>
      <c r="N282">
        <f t="shared" si="43"/>
        <v>481.1</v>
      </c>
      <c r="O282">
        <f t="shared" si="44"/>
        <v>2682.46</v>
      </c>
      <c r="P282">
        <f t="shared" si="45"/>
        <v>660.65000000000009</v>
      </c>
    </row>
    <row r="283" spans="1:16" x14ac:dyDescent="0.35">
      <c r="A283">
        <v>480.67</v>
      </c>
      <c r="B283">
        <v>135.75</v>
      </c>
      <c r="C283">
        <v>82.66</v>
      </c>
      <c r="D283">
        <v>217.72</v>
      </c>
      <c r="E283">
        <v>217.9</v>
      </c>
      <c r="F283">
        <v>15.41</v>
      </c>
      <c r="G283">
        <v>2353</v>
      </c>
      <c r="H283" t="str">
        <f t="shared" si="37"/>
        <v>0-5000</v>
      </c>
      <c r="I283">
        <f t="shared" si="38"/>
        <v>1150.1100000000001</v>
      </c>
      <c r="J283" s="3">
        <f t="shared" si="39"/>
        <v>0.48878453038674041</v>
      </c>
      <c r="K283">
        <f t="shared" si="40"/>
        <v>616.42000000000007</v>
      </c>
      <c r="L283">
        <f t="shared" si="41"/>
        <v>300.38</v>
      </c>
      <c r="M283">
        <f t="shared" si="42"/>
        <v>15.41</v>
      </c>
      <c r="N283">
        <f t="shared" si="43"/>
        <v>217.9</v>
      </c>
      <c r="O283">
        <f t="shared" si="44"/>
        <v>916.80000000000007</v>
      </c>
      <c r="P283">
        <f t="shared" si="45"/>
        <v>233.31</v>
      </c>
    </row>
    <row r="284" spans="1:16" x14ac:dyDescent="0.35">
      <c r="A284">
        <v>746.29</v>
      </c>
      <c r="B284">
        <v>925.8</v>
      </c>
      <c r="C284">
        <v>988.98</v>
      </c>
      <c r="D284">
        <v>229.34</v>
      </c>
      <c r="E284">
        <v>282.95</v>
      </c>
      <c r="F284">
        <v>449.15</v>
      </c>
      <c r="G284">
        <v>8488</v>
      </c>
      <c r="H284" t="str">
        <f t="shared" si="37"/>
        <v>7000-8999</v>
      </c>
      <c r="I284">
        <f t="shared" si="38"/>
        <v>3622.5099999999998</v>
      </c>
      <c r="J284" s="3">
        <f t="shared" si="39"/>
        <v>0.42678016022620169</v>
      </c>
      <c r="K284">
        <f t="shared" si="40"/>
        <v>1672.09</v>
      </c>
      <c r="L284">
        <f t="shared" si="41"/>
        <v>1218.32</v>
      </c>
      <c r="M284">
        <f t="shared" si="42"/>
        <v>449.15</v>
      </c>
      <c r="N284">
        <f t="shared" si="43"/>
        <v>282.95</v>
      </c>
      <c r="O284">
        <f t="shared" si="44"/>
        <v>2890.41</v>
      </c>
      <c r="P284">
        <f t="shared" si="45"/>
        <v>732.09999999999991</v>
      </c>
    </row>
    <row r="285" spans="1:16" x14ac:dyDescent="0.35">
      <c r="A285">
        <v>640.69000000000005</v>
      </c>
      <c r="B285">
        <v>966.63</v>
      </c>
      <c r="C285">
        <v>624.12</v>
      </c>
      <c r="D285">
        <v>948.97</v>
      </c>
      <c r="E285">
        <v>480.16</v>
      </c>
      <c r="F285">
        <v>651.30999999999995</v>
      </c>
      <c r="G285">
        <v>10655</v>
      </c>
      <c r="H285" t="str">
        <f t="shared" si="37"/>
        <v>9000+</v>
      </c>
      <c r="I285">
        <f t="shared" si="38"/>
        <v>4311.8799999999992</v>
      </c>
      <c r="J285" s="3">
        <f t="shared" si="39"/>
        <v>0.40468137024870943</v>
      </c>
      <c r="K285">
        <f t="shared" si="40"/>
        <v>1607.3200000000002</v>
      </c>
      <c r="L285">
        <f t="shared" si="41"/>
        <v>1573.0900000000001</v>
      </c>
      <c r="M285">
        <f t="shared" si="42"/>
        <v>651.30999999999995</v>
      </c>
      <c r="N285">
        <f t="shared" si="43"/>
        <v>480.16</v>
      </c>
      <c r="O285">
        <f t="shared" si="44"/>
        <v>3180.4100000000003</v>
      </c>
      <c r="P285">
        <f t="shared" si="45"/>
        <v>1131.47</v>
      </c>
    </row>
    <row r="286" spans="1:16" x14ac:dyDescent="0.35">
      <c r="A286">
        <v>990.33</v>
      </c>
      <c r="B286">
        <v>642.99</v>
      </c>
      <c r="C286">
        <v>823.74</v>
      </c>
      <c r="D286">
        <v>986.35</v>
      </c>
      <c r="E286">
        <v>422.92</v>
      </c>
      <c r="F286">
        <v>14.64</v>
      </c>
      <c r="G286">
        <v>8169</v>
      </c>
      <c r="H286" t="str">
        <f t="shared" si="37"/>
        <v>7000-8999</v>
      </c>
      <c r="I286">
        <f t="shared" si="38"/>
        <v>3880.9700000000003</v>
      </c>
      <c r="J286" s="3">
        <f t="shared" si="39"/>
        <v>0.47508507773289266</v>
      </c>
      <c r="K286">
        <f t="shared" si="40"/>
        <v>1633.3200000000002</v>
      </c>
      <c r="L286">
        <f t="shared" si="41"/>
        <v>1810.0900000000001</v>
      </c>
      <c r="M286">
        <f t="shared" si="42"/>
        <v>14.64</v>
      </c>
      <c r="N286">
        <f t="shared" si="43"/>
        <v>422.92</v>
      </c>
      <c r="O286">
        <f t="shared" si="44"/>
        <v>3443.4100000000003</v>
      </c>
      <c r="P286">
        <f t="shared" si="45"/>
        <v>437.56</v>
      </c>
    </row>
    <row r="287" spans="1:16" x14ac:dyDescent="0.35">
      <c r="A287">
        <v>384.82</v>
      </c>
      <c r="B287">
        <v>879.57</v>
      </c>
      <c r="C287">
        <v>735.47</v>
      </c>
      <c r="D287">
        <v>872.34</v>
      </c>
      <c r="E287">
        <v>371.94</v>
      </c>
      <c r="F287">
        <v>41.79</v>
      </c>
      <c r="G287">
        <v>7308</v>
      </c>
      <c r="H287" t="str">
        <f t="shared" si="37"/>
        <v>7000-8999</v>
      </c>
      <c r="I287">
        <f t="shared" si="38"/>
        <v>3285.9300000000003</v>
      </c>
      <c r="J287" s="3">
        <f t="shared" si="39"/>
        <v>0.44963464696223321</v>
      </c>
      <c r="K287">
        <f t="shared" si="40"/>
        <v>1264.3900000000001</v>
      </c>
      <c r="L287">
        <f t="shared" si="41"/>
        <v>1607.81</v>
      </c>
      <c r="M287">
        <f t="shared" si="42"/>
        <v>41.79</v>
      </c>
      <c r="N287">
        <f t="shared" si="43"/>
        <v>371.94</v>
      </c>
      <c r="O287">
        <f t="shared" si="44"/>
        <v>2872.2</v>
      </c>
      <c r="P287">
        <f t="shared" si="45"/>
        <v>413.73</v>
      </c>
    </row>
    <row r="288" spans="1:16" x14ac:dyDescent="0.35">
      <c r="A288">
        <v>355.88</v>
      </c>
      <c r="B288">
        <v>450.45</v>
      </c>
      <c r="C288">
        <v>883.78</v>
      </c>
      <c r="D288">
        <v>362.08</v>
      </c>
      <c r="E288">
        <v>757.46</v>
      </c>
      <c r="F288">
        <v>403.82</v>
      </c>
      <c r="G288">
        <v>6828</v>
      </c>
      <c r="H288" t="str">
        <f t="shared" si="37"/>
        <v>5000-6999</v>
      </c>
      <c r="I288">
        <f t="shared" si="38"/>
        <v>3213.4700000000003</v>
      </c>
      <c r="J288" s="3">
        <f t="shared" si="39"/>
        <v>0.47063122437024024</v>
      </c>
      <c r="K288">
        <f t="shared" si="40"/>
        <v>806.32999999999993</v>
      </c>
      <c r="L288">
        <f t="shared" si="41"/>
        <v>1245.8599999999999</v>
      </c>
      <c r="M288">
        <f t="shared" si="42"/>
        <v>403.82</v>
      </c>
      <c r="N288">
        <f t="shared" si="43"/>
        <v>757.46</v>
      </c>
      <c r="O288">
        <f t="shared" si="44"/>
        <v>2052.1899999999996</v>
      </c>
      <c r="P288">
        <f t="shared" si="45"/>
        <v>1161.28</v>
      </c>
    </row>
    <row r="289" spans="1:16" x14ac:dyDescent="0.35">
      <c r="A289">
        <v>958.24</v>
      </c>
      <c r="B289">
        <v>771.17</v>
      </c>
      <c r="C289">
        <v>69.459999999999994</v>
      </c>
      <c r="D289">
        <v>868.58</v>
      </c>
      <c r="E289">
        <v>649.5</v>
      </c>
      <c r="F289">
        <v>773.38</v>
      </c>
      <c r="G289">
        <v>10387</v>
      </c>
      <c r="H289" t="str">
        <f t="shared" si="37"/>
        <v>9000+</v>
      </c>
      <c r="I289">
        <f t="shared" si="38"/>
        <v>4090.33</v>
      </c>
      <c r="J289" s="3">
        <f t="shared" si="39"/>
        <v>0.39379320304226434</v>
      </c>
      <c r="K289">
        <f t="shared" si="40"/>
        <v>1729.4099999999999</v>
      </c>
      <c r="L289">
        <f t="shared" si="41"/>
        <v>938.04000000000008</v>
      </c>
      <c r="M289">
        <f t="shared" si="42"/>
        <v>773.38</v>
      </c>
      <c r="N289">
        <f t="shared" si="43"/>
        <v>649.5</v>
      </c>
      <c r="O289">
        <f t="shared" si="44"/>
        <v>2667.45</v>
      </c>
      <c r="P289">
        <f t="shared" si="45"/>
        <v>1422.88</v>
      </c>
    </row>
    <row r="290" spans="1:16" x14ac:dyDescent="0.35">
      <c r="A290">
        <v>40.81</v>
      </c>
      <c r="B290">
        <v>863.64</v>
      </c>
      <c r="C290">
        <v>580.23</v>
      </c>
      <c r="D290">
        <v>852.48</v>
      </c>
      <c r="E290">
        <v>548.47</v>
      </c>
      <c r="F290">
        <v>725.71</v>
      </c>
      <c r="G290">
        <v>9244</v>
      </c>
      <c r="H290" t="str">
        <f t="shared" si="37"/>
        <v>9000+</v>
      </c>
      <c r="I290">
        <f t="shared" si="38"/>
        <v>3611.34</v>
      </c>
      <c r="J290" s="3">
        <f t="shared" si="39"/>
        <v>0.39066854175681526</v>
      </c>
      <c r="K290">
        <f t="shared" si="40"/>
        <v>904.45</v>
      </c>
      <c r="L290">
        <f t="shared" si="41"/>
        <v>1432.71</v>
      </c>
      <c r="M290">
        <f t="shared" si="42"/>
        <v>725.71</v>
      </c>
      <c r="N290">
        <f t="shared" si="43"/>
        <v>548.47</v>
      </c>
      <c r="O290">
        <f t="shared" si="44"/>
        <v>2337.16</v>
      </c>
      <c r="P290">
        <f t="shared" si="45"/>
        <v>1274.18</v>
      </c>
    </row>
    <row r="291" spans="1:16" x14ac:dyDescent="0.35">
      <c r="A291">
        <v>225.69</v>
      </c>
      <c r="B291">
        <v>971.12</v>
      </c>
      <c r="C291">
        <v>357.07</v>
      </c>
      <c r="D291">
        <v>932.19</v>
      </c>
      <c r="E291">
        <v>165.56</v>
      </c>
      <c r="F291">
        <v>307.39999999999998</v>
      </c>
      <c r="G291">
        <v>7656</v>
      </c>
      <c r="H291" t="str">
        <f t="shared" si="37"/>
        <v>7000-8999</v>
      </c>
      <c r="I291">
        <f t="shared" si="38"/>
        <v>2959.0299999999997</v>
      </c>
      <c r="J291" s="3">
        <f t="shared" si="39"/>
        <v>0.386498171368861</v>
      </c>
      <c r="K291">
        <f t="shared" si="40"/>
        <v>1196.81</v>
      </c>
      <c r="L291">
        <f t="shared" si="41"/>
        <v>1289.26</v>
      </c>
      <c r="M291">
        <f t="shared" si="42"/>
        <v>307.39999999999998</v>
      </c>
      <c r="N291">
        <f t="shared" si="43"/>
        <v>165.56</v>
      </c>
      <c r="O291">
        <f t="shared" si="44"/>
        <v>2486.0699999999997</v>
      </c>
      <c r="P291">
        <f t="shared" si="45"/>
        <v>472.96</v>
      </c>
    </row>
    <row r="292" spans="1:16" x14ac:dyDescent="0.35">
      <c r="A292">
        <v>138.83000000000001</v>
      </c>
      <c r="B292">
        <v>389.62</v>
      </c>
      <c r="C292">
        <v>804.53</v>
      </c>
      <c r="D292">
        <v>587.20000000000005</v>
      </c>
      <c r="E292">
        <v>436.57</v>
      </c>
      <c r="F292">
        <v>95.75</v>
      </c>
      <c r="G292">
        <v>5029</v>
      </c>
      <c r="H292" t="str">
        <f t="shared" si="37"/>
        <v>5000-6999</v>
      </c>
      <c r="I292">
        <f t="shared" si="38"/>
        <v>2452.5</v>
      </c>
      <c r="J292" s="3">
        <f t="shared" si="39"/>
        <v>0.48767150526943726</v>
      </c>
      <c r="K292">
        <f t="shared" si="40"/>
        <v>528.45000000000005</v>
      </c>
      <c r="L292">
        <f t="shared" si="41"/>
        <v>1391.73</v>
      </c>
      <c r="M292">
        <f t="shared" si="42"/>
        <v>95.75</v>
      </c>
      <c r="N292">
        <f t="shared" si="43"/>
        <v>436.57</v>
      </c>
      <c r="O292">
        <f t="shared" si="44"/>
        <v>1920.18</v>
      </c>
      <c r="P292">
        <f t="shared" si="45"/>
        <v>532.31999999999994</v>
      </c>
    </row>
    <row r="293" spans="1:16" x14ac:dyDescent="0.35">
      <c r="A293">
        <v>79.680000000000007</v>
      </c>
      <c r="B293">
        <v>657.09</v>
      </c>
      <c r="C293">
        <v>738.08</v>
      </c>
      <c r="D293">
        <v>360.38</v>
      </c>
      <c r="E293">
        <v>145.03</v>
      </c>
      <c r="F293">
        <v>827.38</v>
      </c>
      <c r="G293">
        <v>7617</v>
      </c>
      <c r="H293" t="str">
        <f t="shared" si="37"/>
        <v>7000-8999</v>
      </c>
      <c r="I293">
        <f t="shared" si="38"/>
        <v>2807.64</v>
      </c>
      <c r="J293" s="3">
        <f t="shared" si="39"/>
        <v>0.36860181173690426</v>
      </c>
      <c r="K293">
        <f t="shared" si="40"/>
        <v>736.77</v>
      </c>
      <c r="L293">
        <f t="shared" si="41"/>
        <v>1098.46</v>
      </c>
      <c r="M293">
        <f t="shared" si="42"/>
        <v>827.38</v>
      </c>
      <c r="N293">
        <f t="shared" si="43"/>
        <v>145.03</v>
      </c>
      <c r="O293">
        <f t="shared" si="44"/>
        <v>1835.23</v>
      </c>
      <c r="P293">
        <f t="shared" si="45"/>
        <v>972.41</v>
      </c>
    </row>
    <row r="294" spans="1:16" x14ac:dyDescent="0.35">
      <c r="A294">
        <v>594.84</v>
      </c>
      <c r="B294">
        <v>79.44</v>
      </c>
      <c r="C294">
        <v>172.14</v>
      </c>
      <c r="D294">
        <v>622.86</v>
      </c>
      <c r="E294">
        <v>795</v>
      </c>
      <c r="F294">
        <v>909.79</v>
      </c>
      <c r="G294">
        <v>7850</v>
      </c>
      <c r="H294" t="str">
        <f t="shared" si="37"/>
        <v>7000-8999</v>
      </c>
      <c r="I294">
        <f t="shared" si="38"/>
        <v>3174.0699999999997</v>
      </c>
      <c r="J294" s="3">
        <f t="shared" si="39"/>
        <v>0.40434012738853498</v>
      </c>
      <c r="K294">
        <f t="shared" si="40"/>
        <v>674.28</v>
      </c>
      <c r="L294">
        <f t="shared" si="41"/>
        <v>795</v>
      </c>
      <c r="M294">
        <f t="shared" si="42"/>
        <v>909.79</v>
      </c>
      <c r="N294">
        <f t="shared" si="43"/>
        <v>795</v>
      </c>
      <c r="O294">
        <f t="shared" si="44"/>
        <v>1469.28</v>
      </c>
      <c r="P294">
        <f t="shared" si="45"/>
        <v>1704.79</v>
      </c>
    </row>
    <row r="295" spans="1:16" x14ac:dyDescent="0.35">
      <c r="A295">
        <v>947.72</v>
      </c>
      <c r="B295">
        <v>653.82000000000005</v>
      </c>
      <c r="C295">
        <v>879.45</v>
      </c>
      <c r="D295">
        <v>979.08</v>
      </c>
      <c r="E295">
        <v>304.11</v>
      </c>
      <c r="F295">
        <v>92.45</v>
      </c>
      <c r="G295">
        <v>8366</v>
      </c>
      <c r="H295" t="str">
        <f t="shared" si="37"/>
        <v>7000-8999</v>
      </c>
      <c r="I295">
        <f t="shared" si="38"/>
        <v>3856.6299999999997</v>
      </c>
      <c r="J295" s="3">
        <f t="shared" si="39"/>
        <v>0.46098852498207027</v>
      </c>
      <c r="K295">
        <f t="shared" si="40"/>
        <v>1601.54</v>
      </c>
      <c r="L295">
        <f t="shared" si="41"/>
        <v>1858.5300000000002</v>
      </c>
      <c r="M295">
        <f t="shared" si="42"/>
        <v>92.45</v>
      </c>
      <c r="N295">
        <f t="shared" si="43"/>
        <v>304.11</v>
      </c>
      <c r="O295">
        <f t="shared" si="44"/>
        <v>3460.07</v>
      </c>
      <c r="P295">
        <f t="shared" si="45"/>
        <v>396.56</v>
      </c>
    </row>
    <row r="296" spans="1:16" x14ac:dyDescent="0.35">
      <c r="A296">
        <v>708.03</v>
      </c>
      <c r="B296">
        <v>846.72</v>
      </c>
      <c r="C296">
        <v>425.3</v>
      </c>
      <c r="D296">
        <v>555.71</v>
      </c>
      <c r="E296">
        <v>208.48</v>
      </c>
      <c r="F296">
        <v>144.38999999999999</v>
      </c>
      <c r="G296">
        <v>6814</v>
      </c>
      <c r="H296" t="str">
        <f t="shared" si="37"/>
        <v>5000-6999</v>
      </c>
      <c r="I296">
        <f t="shared" si="38"/>
        <v>2888.63</v>
      </c>
      <c r="J296" s="3">
        <f t="shared" si="39"/>
        <v>0.42392574112122106</v>
      </c>
      <c r="K296">
        <f t="shared" si="40"/>
        <v>1554.75</v>
      </c>
      <c r="L296">
        <f t="shared" si="41"/>
        <v>981.01</v>
      </c>
      <c r="M296">
        <f t="shared" si="42"/>
        <v>144.38999999999999</v>
      </c>
      <c r="N296">
        <f t="shared" si="43"/>
        <v>208.48</v>
      </c>
      <c r="O296">
        <f t="shared" si="44"/>
        <v>2535.7600000000002</v>
      </c>
      <c r="P296">
        <f t="shared" si="45"/>
        <v>352.87</v>
      </c>
    </row>
    <row r="297" spans="1:16" x14ac:dyDescent="0.35">
      <c r="A297">
        <v>770.05</v>
      </c>
      <c r="B297">
        <v>501.36</v>
      </c>
      <c r="C297">
        <v>694.6</v>
      </c>
      <c r="D297">
        <v>172.26</v>
      </c>
      <c r="E297">
        <v>572.26</v>
      </c>
      <c r="F297">
        <v>410.56</v>
      </c>
      <c r="G297">
        <v>6851</v>
      </c>
      <c r="H297" t="str">
        <f t="shared" si="37"/>
        <v>5000-6999</v>
      </c>
      <c r="I297">
        <f t="shared" si="38"/>
        <v>3121.0899999999997</v>
      </c>
      <c r="J297" s="3">
        <f t="shared" si="39"/>
        <v>0.45556707050065681</v>
      </c>
      <c r="K297">
        <f t="shared" si="40"/>
        <v>1271.4099999999999</v>
      </c>
      <c r="L297">
        <f t="shared" si="41"/>
        <v>866.86</v>
      </c>
      <c r="M297">
        <f t="shared" si="42"/>
        <v>410.56</v>
      </c>
      <c r="N297">
        <f t="shared" si="43"/>
        <v>572.26</v>
      </c>
      <c r="O297">
        <f t="shared" si="44"/>
        <v>2138.27</v>
      </c>
      <c r="P297">
        <f t="shared" si="45"/>
        <v>982.81999999999994</v>
      </c>
    </row>
    <row r="298" spans="1:16" x14ac:dyDescent="0.35">
      <c r="A298">
        <v>512.38</v>
      </c>
      <c r="B298">
        <v>250.83</v>
      </c>
      <c r="C298">
        <v>373.78</v>
      </c>
      <c r="D298">
        <v>366.95</v>
      </c>
      <c r="E298">
        <v>987.14</v>
      </c>
      <c r="F298">
        <v>509.03</v>
      </c>
      <c r="G298">
        <v>6477</v>
      </c>
      <c r="H298" t="str">
        <f t="shared" si="37"/>
        <v>5000-6999</v>
      </c>
      <c r="I298">
        <f t="shared" si="38"/>
        <v>3000.1099999999997</v>
      </c>
      <c r="J298" s="3">
        <f t="shared" si="39"/>
        <v>0.46319438011425035</v>
      </c>
      <c r="K298">
        <f t="shared" si="40"/>
        <v>763.21</v>
      </c>
      <c r="L298">
        <f t="shared" si="41"/>
        <v>740.73</v>
      </c>
      <c r="M298">
        <f t="shared" si="42"/>
        <v>509.03</v>
      </c>
      <c r="N298">
        <f t="shared" si="43"/>
        <v>987.14</v>
      </c>
      <c r="O298">
        <f t="shared" si="44"/>
        <v>1503.94</v>
      </c>
      <c r="P298">
        <f t="shared" si="45"/>
        <v>1496.17</v>
      </c>
    </row>
    <row r="299" spans="1:16" x14ac:dyDescent="0.35">
      <c r="A299">
        <v>998.1</v>
      </c>
      <c r="B299">
        <v>858.75</v>
      </c>
      <c r="C299">
        <v>781.06</v>
      </c>
      <c r="D299">
        <v>60.61</v>
      </c>
      <c r="E299">
        <v>174.63</v>
      </c>
      <c r="F299">
        <v>213.53</v>
      </c>
      <c r="G299">
        <v>6949</v>
      </c>
      <c r="H299" t="str">
        <f t="shared" si="37"/>
        <v>5000-6999</v>
      </c>
      <c r="I299">
        <f t="shared" si="38"/>
        <v>3086.6800000000003</v>
      </c>
      <c r="J299" s="3">
        <f t="shared" si="39"/>
        <v>0.4441905310116564</v>
      </c>
      <c r="K299">
        <f t="shared" si="40"/>
        <v>1856.85</v>
      </c>
      <c r="L299">
        <f t="shared" si="41"/>
        <v>841.67</v>
      </c>
      <c r="M299">
        <f t="shared" si="42"/>
        <v>213.53</v>
      </c>
      <c r="N299">
        <f t="shared" si="43"/>
        <v>174.63</v>
      </c>
      <c r="O299">
        <f t="shared" si="44"/>
        <v>2698.52</v>
      </c>
      <c r="P299">
        <f t="shared" si="45"/>
        <v>388.15999999999997</v>
      </c>
    </row>
    <row r="300" spans="1:16" x14ac:dyDescent="0.35">
      <c r="A300">
        <v>322.35000000000002</v>
      </c>
      <c r="B300">
        <v>681.22</v>
      </c>
      <c r="C300">
        <v>640.29</v>
      </c>
      <c r="D300">
        <v>343.65</v>
      </c>
      <c r="E300">
        <v>534.22</v>
      </c>
      <c r="F300">
        <v>648.71</v>
      </c>
      <c r="G300">
        <v>7737</v>
      </c>
      <c r="H300" t="str">
        <f t="shared" si="37"/>
        <v>7000-8999</v>
      </c>
      <c r="I300">
        <f t="shared" si="38"/>
        <v>3170.4400000000005</v>
      </c>
      <c r="J300" s="3">
        <f t="shared" si="39"/>
        <v>0.40977639912110642</v>
      </c>
      <c r="K300">
        <f t="shared" si="40"/>
        <v>1003.57</v>
      </c>
      <c r="L300">
        <f t="shared" si="41"/>
        <v>983.93999999999994</v>
      </c>
      <c r="M300">
        <f t="shared" si="42"/>
        <v>648.71</v>
      </c>
      <c r="N300">
        <f t="shared" si="43"/>
        <v>534.22</v>
      </c>
      <c r="O300">
        <f t="shared" si="44"/>
        <v>1987.51</v>
      </c>
      <c r="P300">
        <f t="shared" si="45"/>
        <v>1182.93</v>
      </c>
    </row>
    <row r="301" spans="1:16" x14ac:dyDescent="0.35">
      <c r="A301">
        <v>476.45</v>
      </c>
      <c r="B301">
        <v>884.77</v>
      </c>
      <c r="C301">
        <v>301.79000000000002</v>
      </c>
      <c r="D301">
        <v>802.3</v>
      </c>
      <c r="E301">
        <v>434.82</v>
      </c>
      <c r="F301">
        <v>401.69</v>
      </c>
      <c r="G301">
        <v>8187</v>
      </c>
      <c r="H301" t="str">
        <f t="shared" si="37"/>
        <v>7000-8999</v>
      </c>
      <c r="I301">
        <f t="shared" si="38"/>
        <v>3301.82</v>
      </c>
      <c r="J301" s="3">
        <f t="shared" si="39"/>
        <v>0.40330035422010507</v>
      </c>
      <c r="K301">
        <f t="shared" si="40"/>
        <v>1361.22</v>
      </c>
      <c r="L301">
        <f t="shared" si="41"/>
        <v>1104.0899999999999</v>
      </c>
      <c r="M301">
        <f t="shared" si="42"/>
        <v>401.69</v>
      </c>
      <c r="N301">
        <f t="shared" si="43"/>
        <v>434.82</v>
      </c>
      <c r="O301">
        <f t="shared" si="44"/>
        <v>2465.31</v>
      </c>
      <c r="P301">
        <f t="shared" si="45"/>
        <v>836.51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3025-BB85-46DE-8DC4-4D62C7D4FFE2}">
  <dimension ref="A1:C5"/>
  <sheetViews>
    <sheetView workbookViewId="0">
      <selection activeCell="A8" sqref="A8"/>
    </sheetView>
  </sheetViews>
  <sheetFormatPr defaultRowHeight="14.5" x14ac:dyDescent="0.35"/>
  <cols>
    <col min="1" max="1" width="16.6328125" bestFit="1" customWidth="1"/>
    <col min="2" max="2" width="11.08984375" bestFit="1" customWidth="1"/>
    <col min="3" max="3" width="13.7265625" bestFit="1" customWidth="1"/>
  </cols>
  <sheetData>
    <row r="1" spans="1:3" x14ac:dyDescent="0.35">
      <c r="A1" t="s">
        <v>40</v>
      </c>
      <c r="B1" t="s">
        <v>41</v>
      </c>
      <c r="C1" t="s">
        <v>42</v>
      </c>
    </row>
    <row r="2" spans="1:3" x14ac:dyDescent="0.35">
      <c r="A2" t="s">
        <v>36</v>
      </c>
      <c r="B2">
        <f>SUM(cleaned_data!K2:K301)</f>
        <v>306022.78000000014</v>
      </c>
      <c r="C2">
        <f>AVERAGE(cleaned_data!K2:K301)</f>
        <v>1020.0759333333339</v>
      </c>
    </row>
    <row r="3" spans="1:3" x14ac:dyDescent="0.35">
      <c r="A3" t="s">
        <v>37</v>
      </c>
      <c r="B3">
        <f>SUM(cleaned_data!L2:L301)</f>
        <v>300673.27000000019</v>
      </c>
      <c r="C3">
        <f>AVERAGE(cleaned_data!L2:L301)</f>
        <v>1002.244233333334</v>
      </c>
    </row>
    <row r="4" spans="1:3" x14ac:dyDescent="0.35">
      <c r="A4" t="s">
        <v>38</v>
      </c>
      <c r="B4">
        <f>SUM(cleaned_data!M2:M301)</f>
        <v>145329.18999999997</v>
      </c>
      <c r="C4">
        <f>AVERAGE(cleaned_data!M2:M301)</f>
        <v>484.43063333333322</v>
      </c>
    </row>
    <row r="5" spans="1:3" x14ac:dyDescent="0.35">
      <c r="A5" t="s">
        <v>39</v>
      </c>
      <c r="B5">
        <f>SUM(cleaned_data!N2:N301)</f>
        <v>139719.76999999996</v>
      </c>
      <c r="C5">
        <f>AVERAGE(cleaned_data!N2:N301)</f>
        <v>465.73256666666651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Advertising_Data(raw)</vt:lpstr>
      <vt:lpstr>EDA_1</vt:lpstr>
      <vt:lpstr>EDA_2</vt:lpstr>
      <vt:lpstr>EDA_3</vt:lpstr>
      <vt:lpstr>EDA_4</vt:lpstr>
      <vt:lpstr>EDA_5</vt:lpstr>
      <vt:lpstr>traditional_dril</vt:lpstr>
      <vt:lpstr>EDA_6</vt:lpstr>
      <vt:lpstr>cleaned_data</vt:lpstr>
      <vt:lpstr>category_pefromance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sudhakar V</cp:lastModifiedBy>
  <dcterms:created xsi:type="dcterms:W3CDTF">2026-01-29T16:30:28Z</dcterms:created>
  <dcterms:modified xsi:type="dcterms:W3CDTF">2026-01-31T14:41:46Z</dcterms:modified>
</cp:coreProperties>
</file>